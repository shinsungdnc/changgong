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주택매물" sheetId="3" state="visible" r:id="rId3"/>
    <sheet name="국토부_실거래원본" sheetId="4" state="visible" r:id="rId4"/>
  </sheets>
  <definedNames>
    <definedName name="_xlnm._FilterDatabase" localSheetId="0" hidden="1">'공장창고매물'!$A$1:$AD$158</definedName>
    <definedName name="_xlnm._FilterDatabase" localSheetId="1" hidden="1">'토지매물'!$A$1:$V$361</definedName>
    <definedName name="_xlnm._FilterDatabase" localSheetId="2" hidden="1">'주택매물'!$A$1:$Z$1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HYPERLINK("https://fin.land.naver.com/articles/2645080416",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HYPERLINK("https://fin.land.naver.com/articles/2644946385",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480</v>
      </c>
      <c r="L19" s="4" t="n">
        <v>145</v>
      </c>
      <c r="M19" s="5" t="n">
        <v>1.4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대형평수,저렴하게 나온 공장 매물 월세,바닥 에폭시 새로 예정</t>
        </is>
      </c>
      <c r="Q19" s="6">
        <f>HYPERLINK("https://fin.land.naver.com/articles/2649113039",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편리한 층고 높고 관리 잘 된 공장,청주IC인근</t>
        </is>
      </c>
      <c r="Q26" s="6">
        <f>HYPERLINK("https://fin.land.naver.com/articles/2650584809",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 인근 공장 밀집지 민원 소지없는 위치</t>
        </is>
      </c>
      <c r="Q32" s="6">
        <f>HYPERLINK("https://fin.land.naver.com/articles/2645311214",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더원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48085</v>
      </c>
      <c r="I38" s="4" t="n">
        <v>14546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즉시입주가능 대형공장, 3층차량지입가능, 2차선도로접,남청주ic인근</t>
        </is>
      </c>
      <c r="Q38" s="6">
        <f>HYPERLINK("https://fin.land.naver.com/articles/2648519656",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세종로또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9623</v>
      </c>
      <c r="I59" s="4" t="n">
        <v>2911</v>
      </c>
      <c r="J59" s="5" t="n">
        <v>412.2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청주IC와 오송역 인근 4차선 대로변, 예식장,대형카페,요양원 추천</t>
        </is>
      </c>
      <c r="Q59" s="6">
        <f>HYPERLINK("https://fin.land.naver.com/articles/2650624649",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 7분, 왕복 4차선 진출입 가능한 금형 사출 압출 공장 매매</t>
        </is>
      </c>
      <c r="Q60" s="6">
        <f>HYPERLINK("https://fin.land.naver.com/articles/2645609298",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청담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위치. 입출입 편하고 대지 넓음</t>
        </is>
      </c>
      <c r="Q67" s="6">
        <f>HYPERLINK("https://fin.land.naver.com/articles/2648710367",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청주1등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3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HYPERLINK("https://fin.land.naver.com/articles/2646668651",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3801</v>
      </c>
      <c r="I78" s="4" t="n">
        <v>1150</v>
      </c>
      <c r="J78" s="5" t="n">
        <v>2.1</v>
      </c>
      <c r="K78" s="4" t="n">
        <v>3801</v>
      </c>
      <c r="L78" s="4" t="n">
        <v>1150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HYPERLINK("https://fin.land.naver.com/articles/2646424896",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HYPERLINK("https://fin.land.naver.com/articles/2645944351",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18000</v>
      </c>
      <c r="G81" s="4" t="n">
        <v>1750</v>
      </c>
      <c r="H81" s="4" t="n">
        <v>9200</v>
      </c>
      <c r="I81" s="4" t="n">
        <v>2783</v>
      </c>
      <c r="J81" s="5" t="n">
        <v>0.6</v>
      </c>
      <c r="K81" s="4" t="n">
        <v>2217</v>
      </c>
      <c r="L81" s="4" t="n">
        <v>671</v>
      </c>
      <c r="M81" s="5" t="n">
        <v>2.6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 진출입용이 사무실 갖추어진 공장 넓은 마당사용</t>
        </is>
      </c>
      <c r="Q81" s="6">
        <f>HYPERLINK("https://fin.land.naver.com/articles/2646668810",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9917</v>
      </c>
      <c r="I82" s="4" t="n">
        <v>3000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HYPERLINK("https://fin.land.naver.com/articles/2648089900",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주6동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7.15m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9917</v>
      </c>
      <c r="I84" s="4" t="n">
        <v>3000</v>
      </c>
      <c r="J84" s="5" t="n">
        <v>0.8</v>
      </c>
      <c r="K84" s="4" t="n">
        <v>3765</v>
      </c>
      <c r="L84" s="4" t="n">
        <v>1139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HYPERLINK("https://fin.land.naver.com/articles/2646668003",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HYPERLINK("https://fin.land.naver.com/articles/2645402972",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HYPERLINK("https://fin.land.naver.com/articles/2645643870",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410</v>
      </c>
      <c r="H99" s="4" t="n">
        <v>3500</v>
      </c>
      <c r="I99" s="4" t="n">
        <v>1059</v>
      </c>
      <c r="J99" s="5" t="n">
        <v>0.4</v>
      </c>
      <c r="K99" s="4" t="n">
        <v>671</v>
      </c>
      <c r="L99" s="4" t="n">
        <v>203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대형차량 진출입 편리, 청주ic 13분</t>
        </is>
      </c>
      <c r="Q99" s="6">
        <f>HYPERLINK("https://fin.land.naver.com/articles/2645434181",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나는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HYPERLINK("https://fin.land.naver.com/articles/2645311318",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2000</v>
      </c>
      <c r="G106" s="4" t="n">
        <v>130</v>
      </c>
      <c r="H106" s="4" t="n">
        <v>1434</v>
      </c>
      <c r="I106" s="4" t="n">
        <v>434</v>
      </c>
      <c r="J106" s="5" t="n">
        <v>0.3</v>
      </c>
      <c r="K106" s="4" t="n">
        <v>192</v>
      </c>
      <c r="L106" s="4" t="n">
        <v>58</v>
      </c>
      <c r="M106" s="5" t="n">
        <v>2.2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HYPERLINK("https://fin.land.naver.com/articles/2649399140",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1</v>
      </c>
      <c r="V106" s="5" t="n">
        <v>61.1</v>
      </c>
      <c r="W106" s="4" t="n">
        <v>1434</v>
      </c>
      <c r="X106" s="3" t="inlineStr">
        <is>
          <t>주건축물제2동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HYPERLINK("https://fin.land.naver.com/articles/2645486598",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HYPERLINK("https://fin.land.naver.com/articles/2647035364",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총8동으로 전체임대중 입니다</t>
        </is>
      </c>
      <c r="Q113" s="6">
        <f>HYPERLINK("https://fin.land.naver.com/articles/2649923305",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건축물 전체임대중입니다 입주는 협의하시면됩니다</t>
        </is>
      </c>
      <c r="Q114" s="6">
        <f>HYPERLINK("https://fin.land.naver.com/articles/2649724567",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8000</v>
      </c>
      <c r="G118" s="4" t="n">
        <v>800</v>
      </c>
      <c r="H118" s="4" t="n">
        <v>5013</v>
      </c>
      <c r="I118" s="4" t="n">
        <v>1516</v>
      </c>
      <c r="J118" s="5" t="n">
        <v>0.5</v>
      </c>
      <c r="K118" s="4" t="n">
        <v>1535</v>
      </c>
      <c r="L118" s="4" t="n">
        <v>464</v>
      </c>
      <c r="M118" s="5" t="n">
        <v>1.7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HYPERLINK("https://fin.land.naver.com/articles/2649991282",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280000</v>
      </c>
      <c r="G119" s="4" t="n">
        <v>0</v>
      </c>
      <c r="H119" s="4" t="n">
        <v>5013</v>
      </c>
      <c r="I119" s="4" t="n">
        <v>1516</v>
      </c>
      <c r="J119" s="5" t="n">
        <v>184.7</v>
      </c>
      <c r="K119" s="4" t="n">
        <v>1535</v>
      </c>
      <c r="L119" s="4" t="n">
        <v>464</v>
      </c>
      <c r="M119" s="5" t="n">
        <v>603.4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HYPERLINK("https://fin.land.naver.com/articles/2649085167",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오송읍 공북리 271-4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창고</t>
        </is>
      </c>
      <c r="E121" s="3" t="inlineStr">
        <is>
          <t>월세</t>
        </is>
      </c>
      <c r="F121" s="4" t="n">
        <v>1000</v>
      </c>
      <c r="G121" s="4" t="n">
        <v>150</v>
      </c>
      <c r="H121" s="4" t="n">
        <v>660</v>
      </c>
      <c r="I121" s="4" t="n">
        <v>200</v>
      </c>
      <c r="J121" s="5" t="n">
        <v>0.8</v>
      </c>
      <c r="K121" s="4" t="n">
        <v>330</v>
      </c>
      <c r="L121" s="4" t="n">
        <v>100</v>
      </c>
      <c r="M121" s="5" t="n">
        <v>1.5</v>
      </c>
      <c r="N121" s="3" t="inlineStr">
        <is>
          <t>1</t>
        </is>
      </c>
      <c r="O121" s="3" t="inlineStr">
        <is>
          <t>B1</t>
        </is>
      </c>
      <c r="P121" s="3" t="inlineStr">
        <is>
          <t>층고 높고 넓은 창고전용,2차선도로옆</t>
        </is>
      </c>
      <c r="Q121" s="6">
        <f>HYPERLINK("https://fin.land.naver.com/articles/2645585592", "매물Link")</f>
        <v/>
      </c>
      <c r="R121" s="6">
        <f>HYPERLINK("https://map.naver.com/p/search/오송읍 공북리 271-4", "지도Link")</f>
        <v/>
      </c>
      <c r="S121" s="6">
        <f>HYPERLINK("http://www.eum.go.kr/web/ar/lu/luLandDet.jsp?pnu=4311325023102710004&amp;isNoScr=script&amp;mode=search", "토지이음")</f>
        <v/>
      </c>
      <c r="T121" s="3" t="inlineStr">
        <is>
          <t>오송올래</t>
        </is>
      </c>
      <c r="U121" s="4" t="n">
        <v>2</v>
      </c>
      <c r="V121" s="5" t="n">
        <v>77</v>
      </c>
      <c r="W121" s="4" t="n">
        <v>660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철근콘크리트구조</t>
        </is>
      </c>
      <c r="AA121" s="3" t="inlineStr">
        <is>
          <t>창고시설</t>
        </is>
      </c>
      <c r="AB121" s="3" t="inlineStr">
        <is>
          <t>-</t>
        </is>
      </c>
      <c r="AC121" s="3" t="inlineStr">
        <is>
          <t>1979</t>
        </is>
      </c>
      <c r="AD121" s="3" t="inlineStr">
        <is>
          <t>세로한면(가)</t>
        </is>
      </c>
    </row>
    <row r="122">
      <c r="A122" s="3" t="inlineStr">
        <is>
          <t>오송읍 공북리 271-4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창고</t>
        </is>
      </c>
      <c r="E122" s="3" t="inlineStr">
        <is>
          <t>월세</t>
        </is>
      </c>
      <c r="F122" s="4" t="n">
        <v>1000</v>
      </c>
      <c r="G122" s="4" t="n">
        <v>150</v>
      </c>
      <c r="H122" s="4" t="n">
        <v>660</v>
      </c>
      <c r="I122" s="4" t="n">
        <v>200</v>
      </c>
      <c r="J122" s="5" t="n">
        <v>0.8</v>
      </c>
      <c r="K122" s="4" t="n">
        <v>330</v>
      </c>
      <c r="L122" s="4" t="n">
        <v>100</v>
      </c>
      <c r="M122" s="5" t="n">
        <v>1.5</v>
      </c>
      <c r="N122" s="3" t="inlineStr">
        <is>
          <t>1</t>
        </is>
      </c>
      <c r="O122" s="3" t="inlineStr">
        <is>
          <t>-</t>
        </is>
      </c>
      <c r="P122" s="3" t="inlineStr">
        <is>
          <t>저렴한 금액으로 대형 창고를 사용할수 있는 기회를 잡으세요</t>
        </is>
      </c>
      <c r="Q122" s="6">
        <f>HYPERLINK("https://fin.land.naver.com/articles/2645027148", "매물Link")</f>
        <v/>
      </c>
      <c r="R122" s="6">
        <f>HYPERLINK("https://map.naver.com/p/search/오송읍 공북리 271-4", "지도Link")</f>
        <v/>
      </c>
      <c r="S122" s="6">
        <f>HYPERLINK("http://www.eum.go.kr/web/ar/lu/luLandDet.jsp?pnu=4311325023102710004&amp;isNoScr=script&amp;mode=search", "토지이음")</f>
        <v/>
      </c>
      <c r="T122" s="3" t="inlineStr">
        <is>
          <t>오송2단지창조</t>
        </is>
      </c>
      <c r="U122" s="4" t="n">
        <v>1</v>
      </c>
      <c r="V122" s="5" t="n">
        <v>77</v>
      </c>
      <c r="W122" s="4" t="n">
        <v>660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철근콘크리트구조</t>
        </is>
      </c>
      <c r="AA122" s="3" t="inlineStr">
        <is>
          <t>창고시설</t>
        </is>
      </c>
      <c r="AB122" s="3" t="inlineStr">
        <is>
          <t>-</t>
        </is>
      </c>
      <c r="AC122" s="3" t="inlineStr">
        <is>
          <t>1979</t>
        </is>
      </c>
      <c r="AD122" s="3" t="inlineStr">
        <is>
          <t>세로한면(가)</t>
        </is>
      </c>
    </row>
    <row r="123">
      <c r="A123" s="3" t="inlineStr">
        <is>
          <t>오송읍 쌍청리 108-11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140000</v>
      </c>
      <c r="G123" s="4" t="n">
        <v>0</v>
      </c>
      <c r="H123" s="4" t="n">
        <v>2382</v>
      </c>
      <c r="I123" s="4" t="n">
        <v>721</v>
      </c>
      <c r="J123" s="5" t="n">
        <v>194.2</v>
      </c>
      <c r="K123" s="4" t="n">
        <v>696</v>
      </c>
      <c r="L123" s="4" t="n">
        <v>211</v>
      </c>
      <c r="M123" s="5" t="n">
        <v>663.5</v>
      </c>
      <c r="N123" s="3" t="inlineStr">
        <is>
          <t>1</t>
        </is>
      </c>
      <c r="O123" s="3" t="inlineStr">
        <is>
          <t>B1</t>
        </is>
      </c>
      <c r="P123" s="3" t="inlineStr">
        <is>
          <t>진입로6미터도로.주택,빌라,연립주택적합,투자적지</t>
        </is>
      </c>
      <c r="Q123" s="6">
        <f>HYPERLINK("https://fin.land.naver.com/articles/2649051237", "매물Link")</f>
        <v/>
      </c>
      <c r="R123" s="6">
        <f>HYPERLINK("https://map.naver.com/p/search/오송읍 쌍청리 108-11", "지도Link")</f>
        <v/>
      </c>
      <c r="S123" s="6">
        <f>HYPERLINK("http://www.eum.go.kr/web/ar/lu/luLandDet.jsp?pnu=4311325024101080011&amp;isNoScr=script&amp;mode=search", "토지이음")</f>
        <v/>
      </c>
      <c r="T123" s="3" t="inlineStr">
        <is>
          <t>이박사</t>
        </is>
      </c>
      <c r="U123" s="4" t="n">
        <v>1</v>
      </c>
      <c r="V123" s="5" t="n">
        <v>70.09999999999999</v>
      </c>
      <c r="W123" s="4" t="n">
        <v>68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세로한면(가)</t>
        </is>
      </c>
    </row>
    <row r="124">
      <c r="A124" s="3" t="inlineStr">
        <is>
          <t>오송읍 연제리 610-1</t>
        </is>
      </c>
      <c r="B124" s="3" t="inlineStr">
        <is>
          <t>일반공업지역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200000</v>
      </c>
      <c r="G124" s="4" t="n">
        <v>0</v>
      </c>
      <c r="H124" s="4" t="n">
        <v>2307</v>
      </c>
      <c r="I124" s="4" t="n">
        <v>698</v>
      </c>
      <c r="J124" s="5" t="n">
        <v>286.5</v>
      </c>
      <c r="K124" s="4" t="n">
        <v>410</v>
      </c>
      <c r="L124" s="4" t="n">
        <v>124</v>
      </c>
      <c r="M124" s="5" t="n">
        <v>1612.9</v>
      </c>
      <c r="N124" s="3" t="inlineStr">
        <is>
          <t>1</t>
        </is>
      </c>
      <c r="O124" s="3" t="inlineStr">
        <is>
          <t>-</t>
        </is>
      </c>
      <c r="P124" s="3" t="inlineStr">
        <is>
          <t>오송역인근 산업단지의 층고 10m. 증축 가능한 야드 넓은 공장매매</t>
        </is>
      </c>
      <c r="Q124" s="6">
        <f>HYPERLINK("https://fin.land.naver.com/articles/2647859718", "매물Link")</f>
        <v/>
      </c>
      <c r="R124" s="6">
        <f>HYPERLINK("https://map.naver.com/p/search/오송읍 연제리 610-1", "지도Link")</f>
        <v/>
      </c>
      <c r="S124" s="6">
        <f>HYPERLINK("http://www.eum.go.kr/web/ar/lu/luLandDet.jsp?pnu=4311325026106100001&amp;isNoScr=script&amp;mode=search",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70.3</v>
      </c>
      <c r="W124" s="4" t="n">
        <v>2307.9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10.15m</t>
        </is>
      </c>
      <c r="AC124" s="3" t="inlineStr">
        <is>
          <t>2013-10</t>
        </is>
      </c>
      <c r="AD124" s="3" t="inlineStr">
        <is>
          <t>중로한면</t>
        </is>
      </c>
    </row>
    <row r="125">
      <c r="A125" s="3" t="inlineStr">
        <is>
          <t>오송읍 연제리 610-1</t>
        </is>
      </c>
      <c r="B125" s="3" t="inlineStr">
        <is>
          <t>일반공업지역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199000</v>
      </c>
      <c r="G125" s="4" t="n">
        <v>0</v>
      </c>
      <c r="H125" s="4" t="n">
        <v>2307</v>
      </c>
      <c r="I125" s="4" t="n">
        <v>698</v>
      </c>
      <c r="J125" s="5" t="n">
        <v>285.1</v>
      </c>
      <c r="K125" s="4" t="n">
        <v>410</v>
      </c>
      <c r="L125" s="4" t="n">
        <v>124</v>
      </c>
      <c r="M125" s="5" t="n">
        <v>1604.8</v>
      </c>
      <c r="N125" s="3" t="inlineStr">
        <is>
          <t>1</t>
        </is>
      </c>
      <c r="O125" s="3" t="inlineStr">
        <is>
          <t>-</t>
        </is>
      </c>
      <c r="P125" s="3" t="inlineStr">
        <is>
          <t>오송제1생명과학단지내 저렴한 공장 급매</t>
        </is>
      </c>
      <c r="Q125" s="6">
        <f>HYPERLINK("https://fin.land.naver.com/articles/2648395242", "매물Link")</f>
        <v/>
      </c>
      <c r="R125" s="6">
        <f>HYPERLINK("https://map.naver.com/p/search/오송읍 연제리 610-1", "지도Link")</f>
        <v/>
      </c>
      <c r="S125" s="6">
        <f>HYPERLINK("http://www.eum.go.kr/web/ar/lu/luLandDet.jsp?pnu=4311325026106100001&amp;isNoScr=script&amp;mode=search", "토지이음")</f>
        <v/>
      </c>
      <c r="T125" s="3" t="inlineStr">
        <is>
          <t>청담</t>
        </is>
      </c>
      <c r="U125" s="4" t="n">
        <v>2</v>
      </c>
      <c r="V125" s="5" t="n">
        <v>70.3</v>
      </c>
      <c r="W125" s="4" t="n">
        <v>2307.9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10.15m</t>
        </is>
      </c>
      <c r="AC125" s="3" t="inlineStr">
        <is>
          <t>2013-10</t>
        </is>
      </c>
      <c r="AD125" s="3" t="inlineStr">
        <is>
          <t>중로한면</t>
        </is>
      </c>
    </row>
    <row r="126">
      <c r="A126" s="3" t="inlineStr">
        <is>
          <t>오송읍 연제리 610-2</t>
        </is>
      </c>
      <c r="B126" s="3" t="inlineStr">
        <is>
          <t>일반공업지역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550000</v>
      </c>
      <c r="G126" s="4" t="n">
        <v>0</v>
      </c>
      <c r="H126" s="4" t="n">
        <v>6481</v>
      </c>
      <c r="I126" s="4" t="n">
        <v>1961</v>
      </c>
      <c r="J126" s="5" t="n">
        <v>280.5</v>
      </c>
      <c r="K126" s="4" t="n">
        <v>996</v>
      </c>
      <c r="L126" s="4" t="n">
        <v>301</v>
      </c>
      <c r="M126" s="5" t="n">
        <v>1827.2</v>
      </c>
      <c r="N126" s="3" t="inlineStr">
        <is>
          <t>1</t>
        </is>
      </c>
      <c r="O126" s="3" t="inlineStr">
        <is>
          <t>-</t>
        </is>
      </c>
      <c r="P126" s="3" t="inlineStr">
        <is>
          <t>옥산IC인근, 화학코드, 화장품, 바이오, 첨단업종 가능, 야드 넓음</t>
        </is>
      </c>
      <c r="Q126" s="6">
        <f>HYPERLINK("https://fin.land.naver.com/articles/2649948345", "매물Link")</f>
        <v/>
      </c>
      <c r="R126" s="6">
        <f>HYPERLINK("https://map.naver.com/p/search/오송읍 연제리 610-2", "지도Link")</f>
        <v/>
      </c>
      <c r="S126" s="6">
        <f>HYPERLINK("http://www.eum.go.kr/web/ar/lu/luLandDet.jsp?pnu=4311325026106100002&amp;isNoScr=script&amp;mode=search",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70.40000000000001</v>
      </c>
      <c r="W126" s="4" t="n">
        <v>2165.9</v>
      </c>
      <c r="X126" s="3" t="inlineStr">
        <is>
          <t>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10.15m</t>
        </is>
      </c>
      <c r="AC126" s="3" t="inlineStr">
        <is>
          <t>2016-11</t>
        </is>
      </c>
      <c r="AD126" s="3" t="inlineStr">
        <is>
          <t>중로각지</t>
        </is>
      </c>
    </row>
    <row r="127">
      <c r="A127" s="3" t="inlineStr">
        <is>
          <t>오송읍 오송리 115-11</t>
        </is>
      </c>
      <c r="B127" s="3" t="inlineStr">
        <is>
          <t>농림지역</t>
        </is>
      </c>
      <c r="C127" s="3" t="inlineStr">
        <is>
          <t>창고용지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2000</v>
      </c>
      <c r="G127" s="4" t="n">
        <v>80</v>
      </c>
      <c r="H127" s="4" t="n">
        <v>780</v>
      </c>
      <c r="I127" s="4" t="n">
        <v>236</v>
      </c>
      <c r="J127" s="5" t="n">
        <v>0.3</v>
      </c>
      <c r="K127" s="4" t="n">
        <v>171</v>
      </c>
      <c r="L127" s="4" t="n">
        <v>52</v>
      </c>
      <c r="M127" s="5" t="n">
        <v>1.5</v>
      </c>
      <c r="N127" s="3" t="inlineStr">
        <is>
          <t>1</t>
        </is>
      </c>
      <c r="O127" s="3" t="inlineStr">
        <is>
          <t>B1</t>
        </is>
      </c>
      <c r="P127" s="3" t="inlineStr">
        <is>
          <t>171㎡창고 오송역세권 주차 교통편리</t>
        </is>
      </c>
      <c r="Q127" s="6">
        <f>HYPERLINK("https://fin.land.naver.com/articles/2647027276", "매물Link")</f>
        <v/>
      </c>
      <c r="R127" s="6">
        <f>HYPERLINK("https://map.naver.com/p/search/오송읍 오송리 115-11", "지도Link")</f>
        <v/>
      </c>
      <c r="S127" s="6">
        <f>HYPERLINK("http://www.eum.go.kr/web/ar/lu/luLandDet.jsp?pnu=4311325028101150011&amp;isNoScr=script&amp;mode=search", "토지이음")</f>
        <v/>
      </c>
      <c r="T127" s="3" t="inlineStr">
        <is>
          <t>하림</t>
        </is>
      </c>
      <c r="U127" s="4" t="n">
        <v>1</v>
      </c>
      <c r="V127" s="5" t="n">
        <v>82.2</v>
      </c>
      <c r="W127" s="4" t="n">
        <v>780</v>
      </c>
      <c r="X127" s="3" t="inlineStr">
        <is>
          <t>주건축물제2동</t>
        </is>
      </c>
      <c r="Y127" s="7" t="inlineStr">
        <is>
          <t>1층</t>
        </is>
      </c>
      <c r="Z127" s="3" t="inlineStr">
        <is>
          <t>경량철골구조</t>
        </is>
      </c>
      <c r="AA127" s="3" t="inlineStr">
        <is>
          <t>창고시설</t>
        </is>
      </c>
      <c r="AB127" s="3" t="inlineStr">
        <is>
          <t>3.6m</t>
        </is>
      </c>
      <c r="AC127" s="3" t="inlineStr">
        <is>
          <t>2011-12</t>
        </is>
      </c>
      <c r="AD127" s="3" t="inlineStr">
        <is>
          <t>세로한면(가)</t>
        </is>
      </c>
    </row>
    <row r="128">
      <c r="A128" s="3" t="inlineStr">
        <is>
          <t>오송읍 오송리 242-18</t>
        </is>
      </c>
      <c r="B128" s="3" t="inlineStr">
        <is>
          <t>계획관리지역</t>
        </is>
      </c>
      <c r="C128" s="3" t="inlineStr">
        <is>
          <t>창고용지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10000</v>
      </c>
      <c r="G128" s="4" t="n">
        <v>1500</v>
      </c>
      <c r="H128" s="4" t="n">
        <v>1807</v>
      </c>
      <c r="I128" s="4" t="n">
        <v>547</v>
      </c>
      <c r="J128" s="5" t="n">
        <v>2.7</v>
      </c>
      <c r="K128" s="4" t="n">
        <v>825</v>
      </c>
      <c r="L128" s="4" t="n">
        <v>250</v>
      </c>
      <c r="M128" s="5" t="n">
        <v>6</v>
      </c>
      <c r="N128" s="3" t="inlineStr">
        <is>
          <t>2</t>
        </is>
      </c>
      <c r="O128" s="3" t="inlineStr">
        <is>
          <t>-</t>
        </is>
      </c>
      <c r="P128" s="3" t="inlineStr">
        <is>
          <t>대지 1180. 기존 택배자리. 물류 창고 적합</t>
        </is>
      </c>
      <c r="Q128" s="6">
        <f>HYPERLINK("https://fin.land.naver.com/articles/2648710674", "매물Link")</f>
        <v/>
      </c>
      <c r="R128" s="6">
        <f>HYPERLINK("https://map.naver.com/p/search/오송읍 오송리 242-18", "지도Link")</f>
        <v/>
      </c>
      <c r="S128" s="6">
        <f>HYPERLINK("http://www.eum.go.kr/web/ar/lu/luLandDet.jsp?pnu=4311325028102420018&amp;isNoScr=script&amp;mode=search", "토지이음")</f>
        <v/>
      </c>
      <c r="T128" s="3" t="inlineStr">
        <is>
          <t>청주1등</t>
        </is>
      </c>
      <c r="U128" s="4" t="n">
        <v>1</v>
      </c>
      <c r="V128" s="5" t="n">
        <v>129.4</v>
      </c>
      <c r="W128" s="4" t="n">
        <v>1807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창고시설</t>
        </is>
      </c>
      <c r="AB128" s="3" t="inlineStr">
        <is>
          <t>9.2m</t>
        </is>
      </c>
      <c r="AC128" s="3" t="inlineStr">
        <is>
          <t>2013-08</t>
        </is>
      </c>
      <c r="AD128" s="3" t="inlineStr">
        <is>
          <t>세로한면(가)</t>
        </is>
      </c>
    </row>
    <row r="129">
      <c r="A129" s="3" t="inlineStr">
        <is>
          <t>오송읍 오송리 242-18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10000</v>
      </c>
      <c r="G129" s="4" t="n">
        <v>1500</v>
      </c>
      <c r="H129" s="4" t="n">
        <v>1807</v>
      </c>
      <c r="I129" s="4" t="n">
        <v>547</v>
      </c>
      <c r="J129" s="5" t="n">
        <v>2.7</v>
      </c>
      <c r="K129" s="4" t="n">
        <v>825</v>
      </c>
      <c r="L129" s="4" t="n">
        <v>250</v>
      </c>
      <c r="M129" s="5" t="n">
        <v>6</v>
      </c>
      <c r="N129" s="3" t="inlineStr">
        <is>
          <t>2</t>
        </is>
      </c>
      <c r="O129" s="3" t="inlineStr">
        <is>
          <t>-</t>
        </is>
      </c>
      <c r="P129" s="3" t="inlineStr">
        <is>
          <t>건물1층206형 2층 44형 대지1180형 택배하던자리</t>
        </is>
      </c>
      <c r="Q129" s="6">
        <f>HYPERLINK("https://fin.land.naver.com/articles/2649343320", "매물Link")</f>
        <v/>
      </c>
      <c r="R129" s="6">
        <f>HYPERLINK("https://map.naver.com/p/search/오송읍 오송리 242-18", "지도Link")</f>
        <v/>
      </c>
      <c r="S129" s="6">
        <f>HYPERLINK("http://www.eum.go.kr/web/ar/lu/luLandDet.jsp?pnu=4311325028102420018&amp;isNoScr=script&amp;mode=search",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129.4</v>
      </c>
      <c r="W129" s="4" t="n">
        <v>1807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9.2m</t>
        </is>
      </c>
      <c r="AC129" s="3" t="inlineStr">
        <is>
          <t>2013-08</t>
        </is>
      </c>
      <c r="AD129" s="3" t="inlineStr">
        <is>
          <t>세로한면(가)</t>
        </is>
      </c>
    </row>
    <row r="130">
      <c r="A130" s="3" t="inlineStr">
        <is>
          <t>오송읍 오송리 242-18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10000</v>
      </c>
      <c r="G130" s="4" t="n">
        <v>1500</v>
      </c>
      <c r="H130" s="4" t="n">
        <v>3888</v>
      </c>
      <c r="I130" s="4" t="n">
        <v>1176</v>
      </c>
      <c r="J130" s="5" t="n">
        <v>1.3</v>
      </c>
      <c r="K130" s="4" t="n">
        <v>825</v>
      </c>
      <c r="L130" s="4" t="n">
        <v>250</v>
      </c>
      <c r="M130" s="5" t="n">
        <v>6</v>
      </c>
      <c r="N130" s="3" t="inlineStr">
        <is>
          <t>2</t>
        </is>
      </c>
      <c r="O130" s="3" t="inlineStr">
        <is>
          <t>-</t>
        </is>
      </c>
      <c r="P130" s="3" t="inlineStr">
        <is>
          <t>오송생명과학단지 인근 대형 야드 완비된 물류창고 임대</t>
        </is>
      </c>
      <c r="Q130" s="6">
        <f>HYPERLINK("https://fin.land.naver.com/articles/2645609316", "매물Link")</f>
        <v/>
      </c>
      <c r="R130" s="6">
        <f>HYPERLINK("https://map.naver.com/p/search/오송읍 오송리 242-18", "지도Link")</f>
        <v/>
      </c>
      <c r="S130" s="6">
        <f>HYPERLINK("http://www.eum.go.kr/web/ar/lu/luLandDet.jsp?pnu=4311325028102420018&amp;isNoScr=script&amp;mode=search", "토지이음")</f>
        <v/>
      </c>
      <c r="T130" s="3" t="inlineStr">
        <is>
          <t>청담</t>
        </is>
      </c>
      <c r="U130" s="4" t="n">
        <v>1</v>
      </c>
      <c r="V130" s="5" t="n">
        <v>129.4</v>
      </c>
      <c r="W130" s="4" t="n">
        <v>1807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9.2m</t>
        </is>
      </c>
      <c r="AC130" s="3" t="inlineStr">
        <is>
          <t>2013-08</t>
        </is>
      </c>
      <c r="AD130" s="3" t="inlineStr">
        <is>
          <t>세로한면(가)</t>
        </is>
      </c>
    </row>
    <row r="131">
      <c r="A131" s="3" t="inlineStr">
        <is>
          <t>오송읍 오송리 246-45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300</v>
      </c>
      <c r="H131" s="4" t="n">
        <v>1739</v>
      </c>
      <c r="I131" s="4" t="n">
        <v>526</v>
      </c>
      <c r="J131" s="5" t="n">
        <v>0.6</v>
      </c>
      <c r="K131" s="4" t="n">
        <v>440</v>
      </c>
      <c r="L131" s="4" t="n">
        <v>133</v>
      </c>
      <c r="M131" s="5" t="n">
        <v>2.3</v>
      </c>
      <c r="N131" s="3" t="inlineStr">
        <is>
          <t>2</t>
        </is>
      </c>
      <c r="O131" s="3" t="inlineStr">
        <is>
          <t>-</t>
        </is>
      </c>
      <c r="P131" s="3" t="inlineStr">
        <is>
          <t>오송 교차로 인근 공장.</t>
        </is>
      </c>
      <c r="Q131" s="6">
        <f>HYPERLINK("https://fin.land.naver.com/articles/2648710493", "매물Link")</f>
        <v/>
      </c>
      <c r="R131" s="6">
        <f>HYPERLINK("https://map.naver.com/p/search/오송읍 오송리 246-45", "지도Link")</f>
        <v/>
      </c>
      <c r="S131" s="6">
        <f>HYPERLINK("http://www.eum.go.kr/web/ar/lu/luLandDet.jsp?pnu=4311325028102460045&amp;isNoScr=script&amp;mode=search", "토지이음")</f>
        <v/>
      </c>
      <c r="T131" s="3" t="inlineStr">
        <is>
          <t>청주1등</t>
        </is>
      </c>
      <c r="U131" s="4" t="n">
        <v>1</v>
      </c>
      <c r="V131" s="5" t="n">
        <v>152.1</v>
      </c>
      <c r="W131" s="4" t="n">
        <v>1739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벽돌구조</t>
        </is>
      </c>
      <c r="AA131" s="3" t="inlineStr">
        <is>
          <t>공장</t>
        </is>
      </c>
      <c r="AB131" s="3" t="inlineStr">
        <is>
          <t>-</t>
        </is>
      </c>
      <c r="AC131" s="3" t="inlineStr">
        <is>
          <t>1980</t>
        </is>
      </c>
      <c r="AD131" s="3" t="inlineStr">
        <is>
          <t>세로한면(가)</t>
        </is>
      </c>
    </row>
    <row r="132">
      <c r="A132" s="3" t="inlineStr">
        <is>
          <t>오송읍 오송리 246-45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250</v>
      </c>
      <c r="H132" s="4" t="n">
        <v>1739</v>
      </c>
      <c r="I132" s="4" t="n">
        <v>526</v>
      </c>
      <c r="J132" s="5" t="n">
        <v>0.5</v>
      </c>
      <c r="K132" s="4" t="n">
        <v>440</v>
      </c>
      <c r="L132" s="4" t="n">
        <v>133</v>
      </c>
      <c r="M132" s="5" t="n">
        <v>1.9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공장, 창고 l 교통 편리 l 6개동 일괄 임대</t>
        </is>
      </c>
      <c r="Q132" s="6">
        <f>HYPERLINK("https://fin.land.naver.com/articles/2650437203", "매물Link")</f>
        <v/>
      </c>
      <c r="R132" s="6">
        <f>HYPERLINK("https://map.naver.com/p/search/오송읍 오송리 246-45", "지도Link")</f>
        <v/>
      </c>
      <c r="S132" s="6">
        <f>HYPERLINK("http://www.eum.go.kr/web/ar/lu/luLandDet.jsp?pnu=4311325028102460045&amp;isNoScr=script&amp;mode=search", "토지이음")</f>
        <v/>
      </c>
      <c r="T132" s="3" t="inlineStr">
        <is>
          <t>에이스</t>
        </is>
      </c>
      <c r="U132" s="4" t="n">
        <v>1</v>
      </c>
      <c r="V132" s="5" t="n">
        <v>152.1</v>
      </c>
      <c r="W132" s="4" t="n">
        <v>1739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벽돌구조</t>
        </is>
      </c>
      <c r="AA132" s="3" t="inlineStr">
        <is>
          <t>공장</t>
        </is>
      </c>
      <c r="AB132" s="3" t="inlineStr">
        <is>
          <t>-</t>
        </is>
      </c>
      <c r="AC132" s="3" t="inlineStr">
        <is>
          <t>1980</t>
        </is>
      </c>
      <c r="AD132" s="3" t="inlineStr">
        <is>
          <t>세로한면(가)</t>
        </is>
      </c>
    </row>
    <row r="133">
      <c r="A133" s="3" t="inlineStr">
        <is>
          <t>오송읍 오송리 246-51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180</v>
      </c>
      <c r="H133" s="4" t="n">
        <v>1524</v>
      </c>
      <c r="I133" s="4" t="n">
        <v>461</v>
      </c>
      <c r="J133" s="5" t="n">
        <v>0.4</v>
      </c>
      <c r="K133" s="4" t="n">
        <v>536</v>
      </c>
      <c r="L133" s="4" t="n">
        <v>162</v>
      </c>
      <c r="M133" s="5" t="n">
        <v>1.1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HYPERLINK("https://fin.land.naver.com/articles/2645321144", "매물Link")</f>
        <v/>
      </c>
      <c r="R133" s="6">
        <f>HYPERLINK("https://map.naver.com/p/search/오송읍 오송리 246-51", "지도Link")</f>
        <v/>
      </c>
      <c r="S133" s="6">
        <f>HYPERLINK("http://www.eum.go.kr/web/ar/lu/luLandDet.jsp?pnu=4311325028102460051&amp;isNoScr=script&amp;mode=search", "토지이음")</f>
        <v/>
      </c>
      <c r="T133" s="3" t="inlineStr">
        <is>
          <t>365</t>
        </is>
      </c>
      <c r="U133" s="4" t="n">
        <v>2</v>
      </c>
      <c r="V133" s="5" t="n">
        <v>163.6</v>
      </c>
      <c r="W133" s="4" t="n">
        <v>1447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블록구조</t>
        </is>
      </c>
      <c r="AA133" s="3" t="inlineStr">
        <is>
          <t>공장</t>
        </is>
      </c>
      <c r="AB133" s="3" t="inlineStr">
        <is>
          <t>-</t>
        </is>
      </c>
      <c r="AC133" s="3" t="inlineStr">
        <is>
          <t>1981-11</t>
        </is>
      </c>
      <c r="AD133" s="3" t="inlineStr">
        <is>
          <t>세로한면(가)</t>
        </is>
      </c>
    </row>
    <row r="134">
      <c r="A134" s="3" t="inlineStr">
        <is>
          <t>오송읍 오송리 246-71</t>
        </is>
      </c>
      <c r="B134" s="3" t="inlineStr">
        <is>
          <t>계획관리지역</t>
        </is>
      </c>
      <c r="C134" s="3" t="inlineStr">
        <is>
          <t>잡종지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100</v>
      </c>
      <c r="H134" s="4" t="n">
        <v>565</v>
      </c>
      <c r="I134" s="4" t="n">
        <v>171</v>
      </c>
      <c r="J134" s="5" t="n">
        <v>0.6</v>
      </c>
      <c r="K134" s="4" t="n">
        <v>227</v>
      </c>
      <c r="L134" s="4" t="n">
        <v>69</v>
      </c>
      <c r="M134" s="5" t="n">
        <v>1.4</v>
      </c>
      <c r="N134" s="3" t="inlineStr">
        <is>
          <t>1</t>
        </is>
      </c>
      <c r="O134" s="3" t="inlineStr">
        <is>
          <t>-</t>
        </is>
      </c>
      <c r="P134" s="3" t="inlineStr">
        <is>
          <t>창고와 별도 사무실이 있음</t>
        </is>
      </c>
      <c r="Q134" s="6">
        <f>HYPERLINK("https://fin.land.naver.com/articles/2649702312", "매물Link")</f>
        <v/>
      </c>
      <c r="R134" s="6">
        <f>HYPERLINK("https://map.naver.com/p/search/오송읍 오송리 246-71", "지도Link")</f>
        <v/>
      </c>
      <c r="S134" s="6">
        <f>HYPERLINK("http://www.eum.go.kr/web/ar/lu/luLandDet.jsp?pnu=4311325028102460071&amp;isNoScr=script&amp;mode=search", "토지이음")</f>
        <v/>
      </c>
      <c r="T134" s="3" t="inlineStr">
        <is>
          <t>금송</t>
        </is>
      </c>
      <c r="U134" s="4" t="n">
        <v>1</v>
      </c>
      <c r="V134" s="5" t="n">
        <v>152.1</v>
      </c>
      <c r="W134" s="4" t="n">
        <v>320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세로한면(불)</t>
        </is>
      </c>
    </row>
    <row r="135">
      <c r="A135" s="3" t="inlineStr">
        <is>
          <t>오송읍 오송리 63-8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공장</t>
        </is>
      </c>
      <c r="E135" s="3" t="inlineStr">
        <is>
          <t>매매</t>
        </is>
      </c>
      <c r="F135" s="4" t="n">
        <v>155000</v>
      </c>
      <c r="G135" s="4" t="n">
        <v>0</v>
      </c>
      <c r="H135" s="4" t="n">
        <v>1100</v>
      </c>
      <c r="I135" s="4" t="n">
        <v>333</v>
      </c>
      <c r="J135" s="5" t="n">
        <v>465.5</v>
      </c>
      <c r="K135" s="4" t="n">
        <v>464</v>
      </c>
      <c r="L135" s="4" t="n">
        <v>140</v>
      </c>
      <c r="M135" s="5" t="n">
        <v>1107.1</v>
      </c>
      <c r="N135" s="3" t="inlineStr">
        <is>
          <t>1</t>
        </is>
      </c>
      <c r="O135" s="3" t="inlineStr">
        <is>
          <t>-</t>
        </is>
      </c>
      <c r="P135" s="3" t="inlineStr">
        <is>
          <t>오송 역세권 위치좋은 창고시설</t>
        </is>
      </c>
      <c r="Q135" s="6">
        <f>HYPERLINK("https://fin.land.naver.com/articles/2648538814", "매물Link")</f>
        <v/>
      </c>
      <c r="R135" s="6">
        <f>HYPERLINK("https://map.naver.com/p/search/오송읍 오송리 63-8", "지도Link")</f>
        <v/>
      </c>
      <c r="S135" s="6">
        <f>HYPERLINK("http://www.eum.go.kr/web/ar/lu/luLandDet.jsp?pnu=4311325028100630008&amp;isNoScr=script&amp;mode=search", "토지이음")</f>
        <v/>
      </c>
      <c r="T135" s="3" t="inlineStr">
        <is>
          <t>동남조은집</t>
        </is>
      </c>
      <c r="U135" s="4" t="n">
        <v>1</v>
      </c>
      <c r="V135" s="5" t="n">
        <v>283.4</v>
      </c>
      <c r="W135" s="4" t="n">
        <v>1041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창고시설</t>
        </is>
      </c>
      <c r="AB135" s="3" t="inlineStr">
        <is>
          <t>7.15m</t>
        </is>
      </c>
      <c r="AC135" s="3" t="inlineStr">
        <is>
          <t>2006-09</t>
        </is>
      </c>
      <c r="AD135" s="3" t="inlineStr">
        <is>
          <t>중로각지</t>
        </is>
      </c>
    </row>
    <row r="136">
      <c r="A136" s="3" t="inlineStr">
        <is>
          <t>오송읍 정중리 636</t>
        </is>
      </c>
      <c r="B136" s="3" t="inlineStr">
        <is>
          <t>일반공업지역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400000</v>
      </c>
      <c r="G136" s="4" t="n">
        <v>0</v>
      </c>
      <c r="H136" s="4" t="n">
        <v>2000</v>
      </c>
      <c r="I136" s="4" t="n">
        <v>605</v>
      </c>
      <c r="J136" s="5" t="n">
        <v>661.2</v>
      </c>
      <c r="K136" s="4" t="n">
        <v>501</v>
      </c>
      <c r="L136" s="4" t="n">
        <v>152</v>
      </c>
      <c r="M136" s="5" t="n">
        <v>2631.6</v>
      </c>
      <c r="N136" s="3" t="inlineStr">
        <is>
          <t>1</t>
        </is>
      </c>
      <c r="O136" s="3" t="inlineStr">
        <is>
          <t>-</t>
        </is>
      </c>
      <c r="P136" s="3" t="inlineStr">
        <is>
          <t>비금속광물,금속,기계,장비,자동차,운송장비 제조업 등 첨단관련 입주가능</t>
        </is>
      </c>
      <c r="Q136" s="6">
        <f>HYPERLINK("https://fin.land.naver.com/articles/2645345120", "매물Link")</f>
        <v/>
      </c>
      <c r="R136" s="6">
        <f>HYPERLINK("https://map.naver.com/p/search/오송읍 정중리 636", "지도Link")</f>
        <v/>
      </c>
      <c r="S136" s="6">
        <f>HYPERLINK("http://www.eum.go.kr/web/ar/lu/luLandDet.jsp?pnu=4311325032106360000&amp;isNoScr=script&amp;mode=search", "토지이음")</f>
        <v/>
      </c>
      <c r="T136" s="3" t="inlineStr">
        <is>
          <t>금화랜드</t>
        </is>
      </c>
      <c r="U136" s="4" t="n">
        <v>1</v>
      </c>
      <c r="V136" s="5" t="n">
        <v>66.90000000000001</v>
      </c>
      <c r="W136" s="4" t="n">
        <v>2000.1</v>
      </c>
      <c r="X136" s="3" t="inlineStr">
        <is>
          <t>주2동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9.1m</t>
        </is>
      </c>
      <c r="AC136" s="3" t="inlineStr">
        <is>
          <t>2021-10</t>
        </is>
      </c>
      <c r="AD136" s="3" t="inlineStr">
        <is>
          <t>중로한면</t>
        </is>
      </c>
    </row>
    <row r="137">
      <c r="A137" s="3" t="inlineStr">
        <is>
          <t>오송읍 정중리 651</t>
        </is>
      </c>
      <c r="B137" s="3" t="inlineStr">
        <is>
          <t>일반공업지역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300</v>
      </c>
      <c r="H137" s="4" t="n">
        <v>16494</v>
      </c>
      <c r="I137" s="4" t="n">
        <v>4989</v>
      </c>
      <c r="J137" s="5" t="n">
        <v>0.1</v>
      </c>
      <c r="K137" s="4" t="n">
        <v>337</v>
      </c>
      <c r="L137" s="4" t="n">
        <v>102</v>
      </c>
      <c r="M137" s="5" t="n">
        <v>2.9</v>
      </c>
      <c r="N137" s="3" t="inlineStr">
        <is>
          <t>2</t>
        </is>
      </c>
      <c r="O137" s="3" t="inlineStr">
        <is>
          <t>-</t>
        </is>
      </c>
      <c r="P137" s="3" t="inlineStr">
        <is>
          <t>오송바이오폴리스지구,식품관련업종,사무실,공장 다 가능</t>
        </is>
      </c>
      <c r="Q137" s="6">
        <f>HYPERLINK("https://fin.land.naver.com/articles/2647583393", "매물Link")</f>
        <v/>
      </c>
      <c r="R137" s="6">
        <f>HYPERLINK("https://map.naver.com/p/search/오송읍 정중리 651", "지도Link")</f>
        <v/>
      </c>
      <c r="S137" s="6">
        <f>HYPERLINK("http://www.eum.go.kr/web/ar/lu/luLandDet.jsp?pnu=4311325032106510000&amp;isNoScr=script&amp;mode=search", "토지이음")</f>
        <v/>
      </c>
      <c r="T137" s="3" t="inlineStr">
        <is>
          <t>오송올래</t>
        </is>
      </c>
      <c r="U137" s="4" t="n">
        <v>1</v>
      </c>
      <c r="V137" s="5" t="n">
        <v>68.40000000000001</v>
      </c>
      <c r="W137" s="4" t="n">
        <v>16494.5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3.79m</t>
        </is>
      </c>
      <c r="AC137" s="3" t="inlineStr">
        <is>
          <t>2020-06</t>
        </is>
      </c>
      <c r="AD137" s="3" t="inlineStr">
        <is>
          <t>광대로한면</t>
        </is>
      </c>
    </row>
    <row r="138">
      <c r="A138" s="3" t="inlineStr">
        <is>
          <t>오송읍 정중리 678</t>
        </is>
      </c>
      <c r="B138" s="3" t="inlineStr">
        <is>
          <t>일반공업지역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350000</v>
      </c>
      <c r="G138" s="4" t="n">
        <v>0</v>
      </c>
      <c r="H138" s="4" t="n">
        <v>2169</v>
      </c>
      <c r="I138" s="4" t="n">
        <v>656</v>
      </c>
      <c r="J138" s="5" t="n">
        <v>533.5</v>
      </c>
      <c r="K138" s="4" t="n">
        <v>999</v>
      </c>
      <c r="L138" s="4" t="n">
        <v>302</v>
      </c>
      <c r="M138" s="5" t="n">
        <v>1158.9</v>
      </c>
      <c r="N138" s="3" t="inlineStr">
        <is>
          <t>2</t>
        </is>
      </c>
      <c r="O138" s="3" t="inlineStr">
        <is>
          <t>-</t>
        </is>
      </c>
      <c r="P138" s="3" t="inlineStr">
        <is>
          <t>오송2산단 의료기기업종가능 사옥형 공장으로 추천</t>
        </is>
      </c>
      <c r="Q138" s="6">
        <f>HYPERLINK("https://fin.land.naver.com/articles/2649666291", "매물Link")</f>
        <v/>
      </c>
      <c r="R138" s="6">
        <f>HYPERLINK("https://map.naver.com/p/search/오송읍 정중리 678", "지도Link")</f>
        <v/>
      </c>
      <c r="S138" s="6">
        <f>HYPERLINK("http://www.eum.go.kr/web/ar/lu/luLandDet.jsp?pnu=4311325032106780000&amp;isNoScr=script&amp;mode=search",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67.40000000000001</v>
      </c>
      <c r="W138" s="4" t="n">
        <v>2169.9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6.9m</t>
        </is>
      </c>
      <c r="AC138" s="3" t="inlineStr">
        <is>
          <t>2019-12</t>
        </is>
      </c>
      <c r="AD138" s="3" t="inlineStr">
        <is>
          <t>중로각지</t>
        </is>
      </c>
    </row>
    <row r="139">
      <c r="A139" s="3" t="inlineStr">
        <is>
          <t>오송읍 정중리 678</t>
        </is>
      </c>
      <c r="B139" s="3" t="inlineStr">
        <is>
          <t>일반공업지역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420000</v>
      </c>
      <c r="G139" s="4" t="n">
        <v>0</v>
      </c>
      <c r="H139" s="4" t="n">
        <v>2169</v>
      </c>
      <c r="I139" s="4" t="n">
        <v>656</v>
      </c>
      <c r="J139" s="5" t="n">
        <v>640.2</v>
      </c>
      <c r="K139" s="4" t="n">
        <v>999</v>
      </c>
      <c r="L139" s="4" t="n">
        <v>302</v>
      </c>
      <c r="M139" s="5" t="n">
        <v>1390.7</v>
      </c>
      <c r="N139" s="3" t="inlineStr">
        <is>
          <t>2</t>
        </is>
      </c>
      <c r="O139" s="3" t="inlineStr">
        <is>
          <t>-</t>
        </is>
      </c>
      <c r="P139" s="3" t="inlineStr">
        <is>
          <t>오송2산단 대로접한 코너 공장 상세설명참조</t>
        </is>
      </c>
      <c r="Q139" s="6">
        <f>HYPERLINK("https://fin.land.naver.com/articles/2645201356", "매물Link")</f>
        <v/>
      </c>
      <c r="R139" s="6">
        <f>HYPERLINK("https://map.naver.com/p/search/오송읍 정중리 678", "지도Link")</f>
        <v/>
      </c>
      <c r="S139" s="6">
        <f>HYPERLINK("http://www.eum.go.kr/web/ar/lu/luLandDet.jsp?pnu=4311325032106780000&amp;isNoScr=script&amp;mode=search", "토지이음")</f>
        <v/>
      </c>
      <c r="T139" s="3" t="inlineStr">
        <is>
          <t>오송휴먼캐슬</t>
        </is>
      </c>
      <c r="U139" s="4" t="n">
        <v>1</v>
      </c>
      <c r="V139" s="5" t="n">
        <v>67.40000000000001</v>
      </c>
      <c r="W139" s="4" t="n">
        <v>2169.9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6.9m</t>
        </is>
      </c>
      <c r="AC139" s="3" t="inlineStr">
        <is>
          <t>2019-12</t>
        </is>
      </c>
      <c r="AD139" s="3" t="inlineStr">
        <is>
          <t>중로각지</t>
        </is>
      </c>
    </row>
    <row r="140">
      <c r="A140" s="3" t="inlineStr">
        <is>
          <t>오송읍 정중리 678</t>
        </is>
      </c>
      <c r="B140" s="3" t="inlineStr">
        <is>
          <t>일반공업지역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18000</v>
      </c>
      <c r="G140" s="4" t="n">
        <v>1000</v>
      </c>
      <c r="H140" s="4" t="n">
        <v>2169</v>
      </c>
      <c r="I140" s="4" t="n">
        <v>656</v>
      </c>
      <c r="J140" s="5" t="n">
        <v>1.5</v>
      </c>
      <c r="K140" s="4" t="n">
        <v>999</v>
      </c>
      <c r="L140" s="4" t="n">
        <v>302</v>
      </c>
      <c r="M140" s="5" t="n">
        <v>3.3</v>
      </c>
      <c r="N140" s="3" t="inlineStr">
        <is>
          <t>2</t>
        </is>
      </c>
      <c r="O140" s="3" t="inlineStr">
        <is>
          <t>B1</t>
        </is>
      </c>
      <c r="P140" s="3" t="inlineStr">
        <is>
          <t>오송 2산업단지 대로면 접한 공장으로 의료기기 관련업종 즉시 입주 가능</t>
        </is>
      </c>
      <c r="Q140" s="6">
        <f>HYPERLINK("https://fin.land.naver.com/articles/2650797461", "매물Link")</f>
        <v/>
      </c>
      <c r="R140" s="6">
        <f>HYPERLINK("https://map.naver.com/p/search/오송읍 정중리 678", "지도Link")</f>
        <v/>
      </c>
      <c r="S140" s="6">
        <f>HYPERLINK("http://www.eum.go.kr/web/ar/lu/luLandDet.jsp?pnu=4311325032106780000&amp;isNoScr=script&amp;mode=search", "토지이음")</f>
        <v/>
      </c>
      <c r="T140" s="3" t="inlineStr">
        <is>
          <t>우리</t>
        </is>
      </c>
      <c r="U140" s="4" t="n">
        <v>1</v>
      </c>
      <c r="V140" s="5" t="n">
        <v>67.40000000000001</v>
      </c>
      <c r="W140" s="4" t="n">
        <v>2169.9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6.9m</t>
        </is>
      </c>
      <c r="AC140" s="3" t="inlineStr">
        <is>
          <t>2019-12</t>
        </is>
      </c>
      <c r="AD140" s="3" t="inlineStr">
        <is>
          <t>중로각지</t>
        </is>
      </c>
    </row>
    <row r="141">
      <c r="A141" s="3" t="inlineStr">
        <is>
          <t>오송읍 정중리 678</t>
        </is>
      </c>
      <c r="B141" s="3" t="inlineStr">
        <is>
          <t>일반공업지역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350000</v>
      </c>
      <c r="G141" s="4" t="n">
        <v>0</v>
      </c>
      <c r="H141" s="4" t="n">
        <v>2169</v>
      </c>
      <c r="I141" s="4" t="n">
        <v>656</v>
      </c>
      <c r="J141" s="5" t="n">
        <v>533.5</v>
      </c>
      <c r="K141" s="4" t="n">
        <v>999</v>
      </c>
      <c r="L141" s="4" t="n">
        <v>302</v>
      </c>
      <c r="M141" s="5" t="n">
        <v>1158.9</v>
      </c>
      <c r="N141" s="3" t="inlineStr">
        <is>
          <t>2</t>
        </is>
      </c>
      <c r="O141" s="3" t="inlineStr">
        <is>
          <t>B1</t>
        </is>
      </c>
      <c r="P141" s="3" t="inlineStr">
        <is>
          <t>오송 2산업단지 대로면 접한 공장으로 의료기기 관련업종 즉시 입주 가능</t>
        </is>
      </c>
      <c r="Q141" s="6">
        <f>HYPERLINK("https://fin.land.naver.com/articles/2650796460", "매물Link")</f>
        <v/>
      </c>
      <c r="R141" s="6">
        <f>HYPERLINK("https://map.naver.com/p/search/오송읍 정중리 678", "지도Link")</f>
        <v/>
      </c>
      <c r="S141" s="6">
        <f>HYPERLINK("http://www.eum.go.kr/web/ar/lu/luLandDet.jsp?pnu=4311325032106780000&amp;isNoScr=script&amp;mode=search", "토지이음")</f>
        <v/>
      </c>
      <c r="T141" s="3" t="inlineStr">
        <is>
          <t>우리</t>
        </is>
      </c>
      <c r="U141" s="4" t="n">
        <v>1</v>
      </c>
      <c r="V141" s="5" t="n">
        <v>67.40000000000001</v>
      </c>
      <c r="W141" s="4" t="n">
        <v>2169.9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6.9m</t>
        </is>
      </c>
      <c r="AC141" s="3" t="inlineStr">
        <is>
          <t>2019-12</t>
        </is>
      </c>
      <c r="AD141" s="3" t="inlineStr">
        <is>
          <t>중로각지</t>
        </is>
      </c>
    </row>
    <row r="142">
      <c r="A142" s="3" t="inlineStr">
        <is>
          <t>오송읍 정중리 678</t>
        </is>
      </c>
      <c r="B142" s="3" t="inlineStr">
        <is>
          <t>일반공업지역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18000</v>
      </c>
      <c r="G142" s="4" t="n">
        <v>1000</v>
      </c>
      <c r="H142" s="4" t="n">
        <v>2169</v>
      </c>
      <c r="I142" s="4" t="n">
        <v>656</v>
      </c>
      <c r="J142" s="5" t="n">
        <v>1.5</v>
      </c>
      <c r="K142" s="4" t="n">
        <v>999</v>
      </c>
      <c r="L142" s="4" t="n">
        <v>302</v>
      </c>
      <c r="M142" s="5" t="n">
        <v>3.3</v>
      </c>
      <c r="N142" s="3" t="inlineStr">
        <is>
          <t>2</t>
        </is>
      </c>
      <c r="O142" s="3" t="inlineStr">
        <is>
          <t>-</t>
        </is>
      </c>
      <c r="P142" s="3" t="inlineStr">
        <is>
          <t>산업단지 코너에 위치한 관리 잘 된 준신축급 공장</t>
        </is>
      </c>
      <c r="Q142" s="6">
        <f>HYPERLINK("https://fin.land.naver.com/articles/2650586118", "매물Link")</f>
        <v/>
      </c>
      <c r="R142" s="6">
        <f>HYPERLINK("https://map.naver.com/p/search/오송읍 정중리 678", "지도Link")</f>
        <v/>
      </c>
      <c r="S142" s="6">
        <f>HYPERLINK("http://www.eum.go.kr/web/ar/lu/luLandDet.jsp?pnu=4311325032106780000&amp;isNoScr=script&amp;mode=search", "토지이음")</f>
        <v/>
      </c>
      <c r="T142" s="3" t="inlineStr">
        <is>
          <t>(주)미르</t>
        </is>
      </c>
      <c r="U142" s="4" t="n">
        <v>2</v>
      </c>
      <c r="V142" s="5" t="n">
        <v>67.40000000000001</v>
      </c>
      <c r="W142" s="4" t="n">
        <v>2169.9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6.9m</t>
        </is>
      </c>
      <c r="AC142" s="3" t="inlineStr">
        <is>
          <t>2019-12</t>
        </is>
      </c>
      <c r="AD142" s="3" t="inlineStr">
        <is>
          <t>중로각지</t>
        </is>
      </c>
    </row>
    <row r="143">
      <c r="A143" s="3" t="inlineStr">
        <is>
          <t>오송읍 정중리 678</t>
        </is>
      </c>
      <c r="B143" s="3" t="inlineStr">
        <is>
          <t>일반공업지역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420000</v>
      </c>
      <c r="G143" s="4" t="n">
        <v>0</v>
      </c>
      <c r="H143" s="4" t="n">
        <v>2169</v>
      </c>
      <c r="I143" s="4" t="n">
        <v>656</v>
      </c>
      <c r="J143" s="5" t="n">
        <v>640.2</v>
      </c>
      <c r="K143" s="4" t="n">
        <v>999</v>
      </c>
      <c r="L143" s="4" t="n">
        <v>302</v>
      </c>
      <c r="M143" s="5" t="n">
        <v>1390.7</v>
      </c>
      <c r="N143" s="3" t="inlineStr">
        <is>
          <t>2</t>
        </is>
      </c>
      <c r="O143" s="3" t="inlineStr">
        <is>
          <t>-</t>
        </is>
      </c>
      <c r="P143" s="3" t="inlineStr">
        <is>
          <t>오송2산단 산업단지 코너 대로접한 신축급 공장</t>
        </is>
      </c>
      <c r="Q143" s="6">
        <f>HYPERLINK("https://fin.land.naver.com/articles/2649742642", "매물Link")</f>
        <v/>
      </c>
      <c r="R143" s="6">
        <f>HYPERLINK("https://map.naver.com/p/search/오송읍 정중리 678", "지도Link")</f>
        <v/>
      </c>
      <c r="S143" s="6">
        <f>HYPERLINK("http://www.eum.go.kr/web/ar/lu/luLandDet.jsp?pnu=4311325032106780000&amp;isNoScr=script&amp;mode=search", "토지이음")</f>
        <v/>
      </c>
      <c r="T143" s="3" t="inlineStr">
        <is>
          <t>자이원</t>
        </is>
      </c>
      <c r="U143" s="4" t="n">
        <v>1</v>
      </c>
      <c r="V143" s="5" t="n">
        <v>67.40000000000001</v>
      </c>
      <c r="W143" s="4" t="n">
        <v>2169.9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6.9m</t>
        </is>
      </c>
      <c r="AC143" s="3" t="inlineStr">
        <is>
          <t>2019-12</t>
        </is>
      </c>
      <c r="AD143" s="3" t="inlineStr">
        <is>
          <t>중로각지</t>
        </is>
      </c>
    </row>
    <row r="144">
      <c r="A144" s="3" t="inlineStr">
        <is>
          <t>오송읍 정중리 678</t>
        </is>
      </c>
      <c r="B144" s="3" t="inlineStr">
        <is>
          <t>일반공업지역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350000</v>
      </c>
      <c r="G144" s="4" t="n">
        <v>0</v>
      </c>
      <c r="H144" s="4" t="n">
        <v>2169</v>
      </c>
      <c r="I144" s="4" t="n">
        <v>656</v>
      </c>
      <c r="J144" s="5" t="n">
        <v>533.5</v>
      </c>
      <c r="K144" s="4" t="n">
        <v>999</v>
      </c>
      <c r="L144" s="4" t="n">
        <v>302</v>
      </c>
      <c r="M144" s="5" t="n">
        <v>1158.9</v>
      </c>
      <c r="N144" s="3" t="inlineStr">
        <is>
          <t>2</t>
        </is>
      </c>
      <c r="O144" s="3" t="inlineStr">
        <is>
          <t>-</t>
        </is>
      </c>
      <c r="P144" s="3" t="inlineStr">
        <is>
          <t>산업단지 코너에 위치한 관리 잘 된 준신축급 공장</t>
        </is>
      </c>
      <c r="Q144" s="6">
        <f>HYPERLINK("https://fin.land.naver.com/articles/2649253999", "매물Link")</f>
        <v/>
      </c>
      <c r="R144" s="6">
        <f>HYPERLINK("https://map.naver.com/p/search/오송읍 정중리 678", "지도Link")</f>
        <v/>
      </c>
      <c r="S144" s="6">
        <f>HYPERLINK("http://www.eum.go.kr/web/ar/lu/luLandDet.jsp?pnu=4311325032106780000&amp;isNoScr=script&amp;mode=search", "토지이음")</f>
        <v/>
      </c>
      <c r="T144" s="3" t="inlineStr">
        <is>
          <t>(주)미르</t>
        </is>
      </c>
      <c r="U144" s="4" t="n">
        <v>3</v>
      </c>
      <c r="V144" s="5" t="n">
        <v>67.40000000000001</v>
      </c>
      <c r="W144" s="4" t="n">
        <v>2169.9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6.9m</t>
        </is>
      </c>
      <c r="AC144" s="3" t="inlineStr">
        <is>
          <t>2019-12</t>
        </is>
      </c>
      <c r="AD144" s="3" t="inlineStr">
        <is>
          <t>중로각지</t>
        </is>
      </c>
    </row>
    <row r="145">
      <c r="A145" s="3" t="inlineStr">
        <is>
          <t>오송읍 정중리 718</t>
        </is>
      </c>
      <c r="B145" s="3" t="inlineStr">
        <is>
          <t>일반공업지역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100000</v>
      </c>
      <c r="G145" s="4" t="n">
        <v>10000</v>
      </c>
      <c r="H145" s="4" t="n">
        <v>10798</v>
      </c>
      <c r="I145" s="4" t="n">
        <v>3266</v>
      </c>
      <c r="J145" s="5" t="n">
        <v>3.1</v>
      </c>
      <c r="K145" s="4" t="n">
        <v>15064</v>
      </c>
      <c r="L145" s="4" t="n">
        <v>4557</v>
      </c>
      <c r="M145" s="5" t="n">
        <v>2.2</v>
      </c>
      <c r="N145" s="3" t="inlineStr">
        <is>
          <t>5</t>
        </is>
      </c>
      <c r="O145" s="3" t="inlineStr">
        <is>
          <t>-</t>
        </is>
      </c>
      <c r="P145" s="3" t="inlineStr">
        <is>
          <t>오송산업단지 공장  오송역 ,청주ic 10분이내  분할 임대가능</t>
        </is>
      </c>
      <c r="Q145" s="6">
        <f>HYPERLINK("https://fin.land.naver.com/articles/2649039082", "매물Link")</f>
        <v/>
      </c>
      <c r="R145" s="6">
        <f>HYPERLINK("https://map.naver.com/p/search/오송읍 정중리 718", "지도Link")</f>
        <v/>
      </c>
      <c r="S145" s="6">
        <f>HYPERLINK("http://www.eum.go.kr/web/ar/lu/luLandDet.jsp?pnu=4311325032107180000&amp;isNoScr=script&amp;mode=search",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74.40000000000001</v>
      </c>
      <c r="W145" s="4" t="n">
        <v>10798.4</v>
      </c>
      <c r="X145" s="3" t="inlineStr">
        <is>
          <t>주건축물제1동</t>
        </is>
      </c>
      <c r="Y145" s="7" t="inlineStr">
        <is>
          <t>5층</t>
        </is>
      </c>
      <c r="Z145" s="3" t="inlineStr">
        <is>
          <t>철근콘크리트구조</t>
        </is>
      </c>
      <c r="AA145" s="3" t="inlineStr">
        <is>
          <t>공장</t>
        </is>
      </c>
      <c r="AB145" s="3" t="inlineStr">
        <is>
          <t>26.9m</t>
        </is>
      </c>
      <c r="AC145" s="3" t="inlineStr">
        <is>
          <t>2023-10</t>
        </is>
      </c>
      <c r="AD145" s="3" t="inlineStr">
        <is>
          <t>광대소각</t>
        </is>
      </c>
    </row>
    <row r="146">
      <c r="A146" s="3" t="inlineStr">
        <is>
          <t>오송읍 정중리 718</t>
        </is>
      </c>
      <c r="B146" s="3" t="inlineStr">
        <is>
          <t>일반공업지역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35000</v>
      </c>
      <c r="G146" s="4" t="n">
        <v>3500</v>
      </c>
      <c r="H146" s="4" t="n">
        <v>10798</v>
      </c>
      <c r="I146" s="4" t="n">
        <v>3266</v>
      </c>
      <c r="J146" s="5" t="n">
        <v>1.1</v>
      </c>
      <c r="K146" s="4" t="n">
        <v>3616</v>
      </c>
      <c r="L146" s="4" t="n">
        <v>1094</v>
      </c>
      <c r="M146" s="5" t="n">
        <v>3.2</v>
      </c>
      <c r="N146" s="3" t="inlineStr">
        <is>
          <t>5</t>
        </is>
      </c>
      <c r="O146" s="3" t="inlineStr">
        <is>
          <t>-</t>
        </is>
      </c>
      <c r="P146" s="3" t="inlineStr">
        <is>
          <t>오송산업단지 공장  오송역 ,청주ic 10분이내  분할 임대가능</t>
        </is>
      </c>
      <c r="Q146" s="6">
        <f>HYPERLINK("https://fin.land.naver.com/articles/2649016336", "매물Link")</f>
        <v/>
      </c>
      <c r="R146" s="6">
        <f>HYPERLINK("https://map.naver.com/p/search/오송읍 정중리 718", "지도Link")</f>
        <v/>
      </c>
      <c r="S146" s="6">
        <f>HYPERLINK("http://www.eum.go.kr/web/ar/lu/luLandDet.jsp?pnu=4311325032107180000&amp;isNoScr=script&amp;mode=search",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74.40000000000001</v>
      </c>
      <c r="W146" s="4" t="n">
        <v>10798.4</v>
      </c>
      <c r="X146" s="3" t="inlineStr">
        <is>
          <t>부속건축물제1동</t>
        </is>
      </c>
      <c r="Y146" s="7" t="inlineStr">
        <is>
          <t>1층</t>
        </is>
      </c>
      <c r="Z146" s="3" t="inlineStr">
        <is>
          <t>철근콘크리트구조</t>
        </is>
      </c>
      <c r="AA146" s="3" t="inlineStr">
        <is>
          <t>공장</t>
        </is>
      </c>
      <c r="AB146" s="3" t="inlineStr">
        <is>
          <t>8.0m</t>
        </is>
      </c>
      <c r="AC146" s="3" t="inlineStr">
        <is>
          <t>2023-10</t>
        </is>
      </c>
      <c r="AD146" s="3" t="inlineStr">
        <is>
          <t>광대소각</t>
        </is>
      </c>
    </row>
    <row r="147">
      <c r="A147" s="3" t="inlineStr">
        <is>
          <t>오송읍 정중리 718</t>
        </is>
      </c>
      <c r="B147" s="3" t="inlineStr">
        <is>
          <t>일반공업지역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5000000</v>
      </c>
      <c r="G147" s="4" t="n">
        <v>0</v>
      </c>
      <c r="H147" s="4" t="n">
        <v>10798</v>
      </c>
      <c r="I147" s="4" t="n">
        <v>3266</v>
      </c>
      <c r="J147" s="5" t="n">
        <v>1530.9</v>
      </c>
      <c r="K147" s="4" t="n">
        <v>14761</v>
      </c>
      <c r="L147" s="4" t="n">
        <v>4465</v>
      </c>
      <c r="M147" s="5" t="n">
        <v>1119.8</v>
      </c>
      <c r="N147" s="3" t="inlineStr">
        <is>
          <t>5</t>
        </is>
      </c>
      <c r="O147" s="3" t="inlineStr">
        <is>
          <t>-</t>
        </is>
      </c>
      <c r="P147" s="3" t="inlineStr">
        <is>
          <t>청주ic 오송ktx 10분이내 오송산업단지공장 화학업종 가능</t>
        </is>
      </c>
      <c r="Q147" s="6">
        <f>HYPERLINK("https://fin.land.naver.com/articles/2649015627", "매물Link")</f>
        <v/>
      </c>
      <c r="R147" s="6">
        <f>HYPERLINK("https://map.naver.com/p/search/오송읍 정중리 718", "지도Link")</f>
        <v/>
      </c>
      <c r="S147" s="6">
        <f>HYPERLINK("http://www.eum.go.kr/web/ar/lu/luLandDet.jsp?pnu=4311325032107180000&amp;isNoScr=script&amp;mode=search",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74.40000000000001</v>
      </c>
      <c r="W147" s="4" t="n">
        <v>10798.4</v>
      </c>
      <c r="X147" s="3" t="inlineStr">
        <is>
          <t>주건축물제1동</t>
        </is>
      </c>
      <c r="Y147" s="7" t="inlineStr">
        <is>
          <t>5층</t>
        </is>
      </c>
      <c r="Z147" s="3" t="inlineStr">
        <is>
          <t>철근콘크리트구조</t>
        </is>
      </c>
      <c r="AA147" s="3" t="inlineStr">
        <is>
          <t>공장</t>
        </is>
      </c>
      <c r="AB147" s="3" t="inlineStr">
        <is>
          <t>26.9m</t>
        </is>
      </c>
      <c r="AC147" s="3" t="inlineStr">
        <is>
          <t>2023-10</t>
        </is>
      </c>
      <c r="AD147" s="3" t="inlineStr">
        <is>
          <t>광대소각</t>
        </is>
      </c>
    </row>
    <row r="148">
      <c r="A148" s="3" t="inlineStr">
        <is>
          <t>오송읍 정중리 718</t>
        </is>
      </c>
      <c r="B148" s="3" t="inlineStr">
        <is>
          <t>일반공업지역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100000</v>
      </c>
      <c r="G148" s="4" t="n">
        <v>10000</v>
      </c>
      <c r="H148" s="4" t="n">
        <v>10798</v>
      </c>
      <c r="I148" s="4" t="n">
        <v>3266</v>
      </c>
      <c r="J148" s="5" t="n">
        <v>3.1</v>
      </c>
      <c r="K148" s="4" t="n">
        <v>14761</v>
      </c>
      <c r="L148" s="4" t="n">
        <v>4465</v>
      </c>
      <c r="M148" s="5" t="n">
        <v>2.2</v>
      </c>
      <c r="N148" s="3" t="inlineStr">
        <is>
          <t>5</t>
        </is>
      </c>
      <c r="O148" s="3" t="inlineStr">
        <is>
          <t>-</t>
        </is>
      </c>
      <c r="P148" s="3" t="inlineStr">
        <is>
          <t>공장 매매</t>
        </is>
      </c>
      <c r="Q148" s="6">
        <f>HYPERLINK("https://fin.land.naver.com/articles/2648235904", "매물Link")</f>
        <v/>
      </c>
      <c r="R148" s="6">
        <f>HYPERLINK("https://map.naver.com/p/search/오송읍 정중리 718", "지도Link")</f>
        <v/>
      </c>
      <c r="S148" s="6">
        <f>HYPERLINK("http://www.eum.go.kr/web/ar/lu/luLandDet.jsp?pnu=4311325032107180000&amp;isNoScr=script&amp;mode=search", "토지이음")</f>
        <v/>
      </c>
      <c r="T148" s="3" t="inlineStr">
        <is>
          <t>월드</t>
        </is>
      </c>
      <c r="U148" s="4" t="n">
        <v>1</v>
      </c>
      <c r="V148" s="5" t="n">
        <v>74.40000000000001</v>
      </c>
      <c r="W148" s="4" t="n">
        <v>10798.4</v>
      </c>
      <c r="X148" s="3" t="inlineStr">
        <is>
          <t>주건축물제1동</t>
        </is>
      </c>
      <c r="Y148" s="7" t="inlineStr">
        <is>
          <t>5층</t>
        </is>
      </c>
      <c r="Z148" s="3" t="inlineStr">
        <is>
          <t>철근콘크리트구조</t>
        </is>
      </c>
      <c r="AA148" s="3" t="inlineStr">
        <is>
          <t>공장</t>
        </is>
      </c>
      <c r="AB148" s="3" t="inlineStr">
        <is>
          <t>26.9m</t>
        </is>
      </c>
      <c r="AC148" s="3" t="inlineStr">
        <is>
          <t>2023-10</t>
        </is>
      </c>
      <c r="AD148" s="3" t="inlineStr">
        <is>
          <t>광대소각</t>
        </is>
      </c>
    </row>
    <row r="149">
      <c r="A149" s="3" t="inlineStr">
        <is>
          <t>오송읍 정중리 718</t>
        </is>
      </c>
      <c r="B149" s="3" t="inlineStr">
        <is>
          <t>일반공업지역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100000</v>
      </c>
      <c r="G149" s="4" t="n">
        <v>10000</v>
      </c>
      <c r="H149" s="4" t="n">
        <v>10798</v>
      </c>
      <c r="I149" s="4" t="n">
        <v>3266</v>
      </c>
      <c r="J149" s="5" t="n">
        <v>3.1</v>
      </c>
      <c r="K149" s="4" t="n">
        <v>1476</v>
      </c>
      <c r="L149" s="4" t="n">
        <v>446</v>
      </c>
      <c r="M149" s="5" t="n">
        <v>22.4</v>
      </c>
      <c r="N149" s="3" t="inlineStr">
        <is>
          <t>5</t>
        </is>
      </c>
      <c r="O149" s="3" t="inlineStr">
        <is>
          <t>-</t>
        </is>
      </c>
      <c r="P149" s="3" t="inlineStr">
        <is>
          <t>전층공조시설완비,바닥 크리트마감, 신축공장,건기식,제약,화장품 추천</t>
        </is>
      </c>
      <c r="Q149" s="6">
        <f>HYPERLINK("https://fin.land.naver.com/articles/2650624911", "매물Link")</f>
        <v/>
      </c>
      <c r="R149" s="6">
        <f>HYPERLINK("https://map.naver.com/p/search/오송읍 정중리 718", "지도Link")</f>
        <v/>
      </c>
      <c r="S149" s="6">
        <f>HYPERLINK("http://www.eum.go.kr/web/ar/lu/luLandDet.jsp?pnu=4311325032107180000&amp;isNoScr=script&amp;mode=search", "토지이음")</f>
        <v/>
      </c>
      <c r="T149" s="3" t="inlineStr">
        <is>
          <t>(주)미르</t>
        </is>
      </c>
      <c r="U149" s="4" t="n">
        <v>2</v>
      </c>
      <c r="V149" s="5" t="n">
        <v>74.40000000000001</v>
      </c>
      <c r="W149" s="4" t="n">
        <v>10798.4</v>
      </c>
      <c r="X149" s="3" t="inlineStr">
        <is>
          <t>부속건축물제1동</t>
        </is>
      </c>
      <c r="Y149" s="7" t="inlineStr">
        <is>
          <t>1층</t>
        </is>
      </c>
      <c r="Z149" s="3" t="inlineStr">
        <is>
          <t>철근콘크리트구조</t>
        </is>
      </c>
      <c r="AA149" s="3" t="inlineStr">
        <is>
          <t>공장</t>
        </is>
      </c>
      <c r="AB149" s="3" t="inlineStr">
        <is>
          <t>8.0m</t>
        </is>
      </c>
      <c r="AC149" s="3" t="inlineStr">
        <is>
          <t>2023-10</t>
        </is>
      </c>
      <c r="AD149" s="3" t="inlineStr">
        <is>
          <t>광대소각</t>
        </is>
      </c>
    </row>
    <row r="150">
      <c r="A150" s="3" t="inlineStr">
        <is>
          <t>오송읍 정중리 718</t>
        </is>
      </c>
      <c r="B150" s="3" t="inlineStr">
        <is>
          <t>일반공업지역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5000000</v>
      </c>
      <c r="G150" s="4" t="n">
        <v>0</v>
      </c>
      <c r="H150" s="4" t="n">
        <v>10798</v>
      </c>
      <c r="I150" s="4" t="n">
        <v>3266</v>
      </c>
      <c r="J150" s="5" t="n">
        <v>1530.9</v>
      </c>
      <c r="K150" s="4" t="n">
        <v>14761</v>
      </c>
      <c r="L150" s="4" t="n">
        <v>4465</v>
      </c>
      <c r="M150" s="5" t="n">
        <v>1119.8</v>
      </c>
      <c r="N150" s="3" t="inlineStr">
        <is>
          <t>5</t>
        </is>
      </c>
      <c r="O150" s="3" t="inlineStr">
        <is>
          <t>-</t>
        </is>
      </c>
      <c r="P150" s="3" t="inlineStr">
        <is>
          <t>공장 매매</t>
        </is>
      </c>
      <c r="Q150" s="6">
        <f>HYPERLINK("https://fin.land.naver.com/articles/2648230144", "매물Link")</f>
        <v/>
      </c>
      <c r="R150" s="6">
        <f>HYPERLINK("https://map.naver.com/p/search/오송읍 정중리 718", "지도Link")</f>
        <v/>
      </c>
      <c r="S150" s="6">
        <f>HYPERLINK("http://www.eum.go.kr/web/ar/lu/luLandDet.jsp?pnu=4311325032107180000&amp;isNoScr=script&amp;mode=search", "토지이음")</f>
        <v/>
      </c>
      <c r="T150" s="3" t="inlineStr">
        <is>
          <t>월드</t>
        </is>
      </c>
      <c r="U150" s="4" t="n">
        <v>2</v>
      </c>
      <c r="V150" s="5" t="n">
        <v>74.40000000000001</v>
      </c>
      <c r="W150" s="4" t="n">
        <v>10798.4</v>
      </c>
      <c r="X150" s="3" t="inlineStr">
        <is>
          <t>주건축물제1동</t>
        </is>
      </c>
      <c r="Y150" s="7" t="inlineStr">
        <is>
          <t>5층</t>
        </is>
      </c>
      <c r="Z150" s="3" t="inlineStr">
        <is>
          <t>철근콘크리트구조</t>
        </is>
      </c>
      <c r="AA150" s="3" t="inlineStr">
        <is>
          <t>공장</t>
        </is>
      </c>
      <c r="AB150" s="3" t="inlineStr">
        <is>
          <t>26.9m</t>
        </is>
      </c>
      <c r="AC150" s="3" t="inlineStr">
        <is>
          <t>2023-10</t>
        </is>
      </c>
      <c r="AD150" s="3" t="inlineStr">
        <is>
          <t>광대소각</t>
        </is>
      </c>
    </row>
    <row r="151">
      <c r="A151" s="3" t="inlineStr">
        <is>
          <t>오송읍 정중리 718</t>
        </is>
      </c>
      <c r="B151" s="3" t="inlineStr">
        <is>
          <t>일반공업지역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30000</v>
      </c>
      <c r="G151" s="4" t="n">
        <v>3000</v>
      </c>
      <c r="H151" s="4" t="n">
        <v>10798</v>
      </c>
      <c r="I151" s="4" t="n">
        <v>3266</v>
      </c>
      <c r="J151" s="5" t="n">
        <v>0.9</v>
      </c>
      <c r="K151" s="4" t="n">
        <v>2314</v>
      </c>
      <c r="L151" s="4" t="n">
        <v>700</v>
      </c>
      <c r="M151" s="5" t="n">
        <v>4.3</v>
      </c>
      <c r="N151" s="3" t="inlineStr">
        <is>
          <t>5</t>
        </is>
      </c>
      <c r="O151" s="3" t="inlineStr">
        <is>
          <t>-</t>
        </is>
      </c>
      <c r="P151" s="3" t="inlineStr">
        <is>
          <t>항온항습시설, GMP인증 시설. 신축, 1층 2층 부문임대가능</t>
        </is>
      </c>
      <c r="Q151" s="6">
        <f>HYPERLINK("https://fin.land.naver.com/articles/2648219901", "매물Link")</f>
        <v/>
      </c>
      <c r="R151" s="6">
        <f>HYPERLINK("https://map.naver.com/p/search/오송읍 정중리 718", "지도Link")</f>
        <v/>
      </c>
      <c r="S151" s="6">
        <f>HYPERLINK("http://www.eum.go.kr/web/ar/lu/luLandDet.jsp?pnu=4311325032107180000&amp;isNoScr=script&amp;mode=search",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74.40000000000001</v>
      </c>
      <c r="W151" s="4" t="n">
        <v>10798.4</v>
      </c>
      <c r="X151" s="3" t="inlineStr">
        <is>
          <t>부속건축물제1동</t>
        </is>
      </c>
      <c r="Y151" s="7" t="inlineStr">
        <is>
          <t>1층</t>
        </is>
      </c>
      <c r="Z151" s="3" t="inlineStr">
        <is>
          <t>철근콘크리트구조</t>
        </is>
      </c>
      <c r="AA151" s="3" t="inlineStr">
        <is>
          <t>공장</t>
        </is>
      </c>
      <c r="AB151" s="3" t="inlineStr">
        <is>
          <t>8.0m</t>
        </is>
      </c>
      <c r="AC151" s="3" t="inlineStr">
        <is>
          <t>2023-10</t>
        </is>
      </c>
      <c r="AD151" s="3" t="inlineStr">
        <is>
          <t>광대소각</t>
        </is>
      </c>
    </row>
    <row r="152">
      <c r="A152" s="3" t="inlineStr">
        <is>
          <t>오송읍 정중리 718</t>
        </is>
      </c>
      <c r="B152" s="3" t="inlineStr">
        <is>
          <t>일반공업지역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5000000</v>
      </c>
      <c r="G152" s="4" t="n">
        <v>0</v>
      </c>
      <c r="H152" s="4" t="n">
        <v>10798</v>
      </c>
      <c r="I152" s="4" t="n">
        <v>3266</v>
      </c>
      <c r="J152" s="5" t="n">
        <v>1530.9</v>
      </c>
      <c r="K152" s="4" t="n">
        <v>14761</v>
      </c>
      <c r="L152" s="4" t="n">
        <v>4465</v>
      </c>
      <c r="M152" s="5" t="n">
        <v>1119.8</v>
      </c>
      <c r="N152" s="3" t="inlineStr">
        <is>
          <t>5</t>
        </is>
      </c>
      <c r="O152" s="3" t="inlineStr">
        <is>
          <t>-</t>
        </is>
      </c>
      <c r="P152" s="3" t="inlineStr">
        <is>
          <t>전층공조시설완비,바닥 유크리트마감, 신축공장,건기식,제약,화장품 추천</t>
        </is>
      </c>
      <c r="Q152" s="6">
        <f>HYPERLINK("https://fin.land.naver.com/articles/2650525742", "매물Link")</f>
        <v/>
      </c>
      <c r="R152" s="6">
        <f>HYPERLINK("https://map.naver.com/p/search/오송읍 정중리 718", "지도Link")</f>
        <v/>
      </c>
      <c r="S152" s="6">
        <f>HYPERLINK("http://www.eum.go.kr/web/ar/lu/luLandDet.jsp?pnu=4311325032107180000&amp;isNoScr=script&amp;mode=search",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74.40000000000001</v>
      </c>
      <c r="W152" s="4" t="n">
        <v>10798.4</v>
      </c>
      <c r="X152" s="3" t="inlineStr">
        <is>
          <t>주건축물제1동</t>
        </is>
      </c>
      <c r="Y152" s="7" t="inlineStr">
        <is>
          <t>5층</t>
        </is>
      </c>
      <c r="Z152" s="3" t="inlineStr">
        <is>
          <t>철근콘크리트구조</t>
        </is>
      </c>
      <c r="AA152" s="3" t="inlineStr">
        <is>
          <t>공장</t>
        </is>
      </c>
      <c r="AB152" s="3" t="inlineStr">
        <is>
          <t>26.9m</t>
        </is>
      </c>
      <c r="AC152" s="3" t="inlineStr">
        <is>
          <t>2023-10</t>
        </is>
      </c>
      <c r="AD152" s="3" t="inlineStr">
        <is>
          <t>광대소각</t>
        </is>
      </c>
    </row>
    <row r="153">
      <c r="A153" s="3" t="inlineStr">
        <is>
          <t>오송읍 정중리 718</t>
        </is>
      </c>
      <c r="B153" s="3" t="inlineStr">
        <is>
          <t>일반공업지역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35000</v>
      </c>
      <c r="G153" s="4" t="n">
        <v>3500</v>
      </c>
      <c r="H153" s="4" t="n">
        <v>10798</v>
      </c>
      <c r="I153" s="4" t="n">
        <v>3266</v>
      </c>
      <c r="J153" s="5" t="n">
        <v>1.1</v>
      </c>
      <c r="K153" s="4" t="n">
        <v>3616</v>
      </c>
      <c r="L153" s="4" t="n">
        <v>1094</v>
      </c>
      <c r="M153" s="5" t="n">
        <v>3.2</v>
      </c>
      <c r="N153" s="3" t="inlineStr">
        <is>
          <t>5</t>
        </is>
      </c>
      <c r="O153" s="3" t="inlineStr">
        <is>
          <t>-</t>
        </is>
      </c>
      <c r="P153" s="3" t="inlineStr">
        <is>
          <t>3층,4층 공장, 창고 임대.전층공조시설완비,바닥 콘크리트마감, 신축</t>
        </is>
      </c>
      <c r="Q153" s="6">
        <f>HYPERLINK("https://fin.land.naver.com/articles/2648733525", "매물Link")</f>
        <v/>
      </c>
      <c r="R153" s="6">
        <f>HYPERLINK("https://map.naver.com/p/search/오송읍 정중리 718", "지도Link")</f>
        <v/>
      </c>
      <c r="S153" s="6">
        <f>HYPERLINK("http://www.eum.go.kr/web/ar/lu/luLandDet.jsp?pnu=4311325032107180000&amp;isNoScr=script&amp;mode=search",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74.40000000000001</v>
      </c>
      <c r="W153" s="4" t="n">
        <v>10798.4</v>
      </c>
      <c r="X153" s="3" t="inlineStr">
        <is>
          <t>부속건축물제1동</t>
        </is>
      </c>
      <c r="Y153" s="7" t="inlineStr">
        <is>
          <t>1층</t>
        </is>
      </c>
      <c r="Z153" s="3" t="inlineStr">
        <is>
          <t>철근콘크리트구조</t>
        </is>
      </c>
      <c r="AA153" s="3" t="inlineStr">
        <is>
          <t>공장</t>
        </is>
      </c>
      <c r="AB153" s="3" t="inlineStr">
        <is>
          <t>8.0m</t>
        </is>
      </c>
      <c r="AC153" s="3" t="inlineStr">
        <is>
          <t>2023-10</t>
        </is>
      </c>
      <c r="AD153" s="3" t="inlineStr">
        <is>
          <t>광대소각</t>
        </is>
      </c>
    </row>
    <row r="154">
      <c r="A154" s="3" t="inlineStr">
        <is>
          <t>오송읍 정중리 718</t>
        </is>
      </c>
      <c r="B154" s="3" t="inlineStr">
        <is>
          <t>일반공업지역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35000</v>
      </c>
      <c r="G154" s="4" t="n">
        <v>3500</v>
      </c>
      <c r="H154" s="4" t="n">
        <v>10798</v>
      </c>
      <c r="I154" s="4" t="n">
        <v>3266</v>
      </c>
      <c r="J154" s="5" t="n">
        <v>1.1</v>
      </c>
      <c r="K154" s="4" t="n">
        <v>15064</v>
      </c>
      <c r="L154" s="4" t="n">
        <v>4557</v>
      </c>
      <c r="M154" s="5" t="n">
        <v>0.8</v>
      </c>
      <c r="N154" s="3" t="inlineStr">
        <is>
          <t>5</t>
        </is>
      </c>
      <c r="O154" s="3" t="inlineStr">
        <is>
          <t>-</t>
        </is>
      </c>
      <c r="P154" s="3" t="inlineStr">
        <is>
          <t>크린룸,폐수처리,위험물저장소,전층공조시설,화물엘베 각층3개,신축급 공장</t>
        </is>
      </c>
      <c r="Q154" s="6">
        <f>HYPERLINK("https://fin.land.naver.com/articles/2650398819", "매물Link")</f>
        <v/>
      </c>
      <c r="R154" s="6">
        <f>HYPERLINK("https://map.naver.com/p/search/오송읍 정중리 718", "지도Link")</f>
        <v/>
      </c>
      <c r="S154" s="6">
        <f>HYPERLINK("http://www.eum.go.kr/web/ar/lu/luLandDet.jsp?pnu=4311325032107180000&amp;isNoScr=script&amp;mode=search",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74.40000000000001</v>
      </c>
      <c r="W154" s="4" t="n">
        <v>10798.4</v>
      </c>
      <c r="X154" s="3" t="inlineStr">
        <is>
          <t>주건축물제1동</t>
        </is>
      </c>
      <c r="Y154" s="7" t="inlineStr">
        <is>
          <t>5층</t>
        </is>
      </c>
      <c r="Z154" s="3" t="inlineStr">
        <is>
          <t>철근콘크리트구조</t>
        </is>
      </c>
      <c r="AA154" s="3" t="inlineStr">
        <is>
          <t>공장</t>
        </is>
      </c>
      <c r="AB154" s="3" t="inlineStr">
        <is>
          <t>26.9m</t>
        </is>
      </c>
      <c r="AC154" s="3" t="inlineStr">
        <is>
          <t>2023-10</t>
        </is>
      </c>
      <c r="AD154" s="3" t="inlineStr">
        <is>
          <t>광대소각</t>
        </is>
      </c>
    </row>
    <row r="155">
      <c r="A155" s="3" t="inlineStr">
        <is>
          <t>오송읍 정중리 797</t>
        </is>
      </c>
      <c r="B155" s="3" t="inlineStr">
        <is>
          <t>일반공업지역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30000</v>
      </c>
      <c r="G155" s="4" t="n">
        <v>2800</v>
      </c>
      <c r="H155" s="4" t="n">
        <v>4999</v>
      </c>
      <c r="I155" s="4" t="n">
        <v>1512</v>
      </c>
      <c r="J155" s="5" t="n">
        <v>1.9</v>
      </c>
      <c r="K155" s="4" t="n">
        <v>9796</v>
      </c>
      <c r="L155" s="4" t="n">
        <v>2963</v>
      </c>
      <c r="M155" s="5" t="n">
        <v>0.9</v>
      </c>
      <c r="N155" s="3" t="inlineStr">
        <is>
          <t>3</t>
        </is>
      </c>
      <c r="O155" s="3" t="inlineStr">
        <is>
          <t>-</t>
        </is>
      </c>
      <c r="P155" s="3" t="inlineStr">
        <is>
          <t>신축급,전기,화학,화장품,의약품 등 입주가능,각층별 과 전체 임대가능</t>
        </is>
      </c>
      <c r="Q155" s="6">
        <f>HYPERLINK("https://fin.land.naver.com/articles/2650190812", "매물Link")</f>
        <v/>
      </c>
      <c r="R155" s="6">
        <f>HYPERLINK("https://map.naver.com/p/search/오송읍 정중리 797", "지도Link")</f>
        <v/>
      </c>
      <c r="S155" s="6">
        <f>HYPERLINK("http://www.eum.go.kr/web/ar/lu/luLandDet.jsp?pnu=4311325032107970000&amp;isNoScr=script&amp;mode=search", "토지이음")</f>
        <v/>
      </c>
      <c r="T155" s="3" t="inlineStr">
        <is>
          <t>금화랜드</t>
        </is>
      </c>
      <c r="U155" s="4" t="n">
        <v>1</v>
      </c>
      <c r="V155" s="5" t="n">
        <v>72.90000000000001</v>
      </c>
      <c r="W155" s="4" t="n">
        <v>4999.8</v>
      </c>
      <c r="X155" s="3" t="inlineStr">
        <is>
          <t>주1</t>
        </is>
      </c>
      <c r="Y155" s="7" t="inlineStr">
        <is>
          <t>3층</t>
        </is>
      </c>
      <c r="Z155" s="3" t="inlineStr">
        <is>
          <t>일반철골구조</t>
        </is>
      </c>
      <c r="AA155" s="3" t="inlineStr">
        <is>
          <t>공장</t>
        </is>
      </c>
      <c r="AB155" s="3" t="inlineStr">
        <is>
          <t>16.68m</t>
        </is>
      </c>
      <c r="AC155" s="3" t="inlineStr">
        <is>
          <t>2019-10</t>
        </is>
      </c>
      <c r="AD155" s="3" t="inlineStr">
        <is>
          <t>광대로한면</t>
        </is>
      </c>
    </row>
    <row r="156">
      <c r="A156" s="3" t="inlineStr">
        <is>
          <t>오송읍 정중리 797</t>
        </is>
      </c>
      <c r="B156" s="3" t="inlineStr">
        <is>
          <t>일반공업지역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1150000</v>
      </c>
      <c r="G156" s="4" t="n">
        <v>0</v>
      </c>
      <c r="H156" s="4" t="n">
        <v>4999</v>
      </c>
      <c r="I156" s="4" t="n">
        <v>1512</v>
      </c>
      <c r="J156" s="5" t="n">
        <v>760.6</v>
      </c>
      <c r="K156" s="4" t="n">
        <v>9796</v>
      </c>
      <c r="L156" s="4" t="n">
        <v>2963</v>
      </c>
      <c r="M156" s="5" t="n">
        <v>388.1</v>
      </c>
      <c r="N156" s="3" t="inlineStr">
        <is>
          <t>3</t>
        </is>
      </c>
      <c r="O156" s="3" t="inlineStr">
        <is>
          <t>-</t>
        </is>
      </c>
      <c r="P156" s="3" t="inlineStr">
        <is>
          <t>오송2산업단지 4차선도로변 접한 위치의 신축급공장</t>
        </is>
      </c>
      <c r="Q156" s="6">
        <f>HYPERLINK("https://fin.land.naver.com/articles/2649326357", "매물Link")</f>
        <v/>
      </c>
      <c r="R156" s="6">
        <f>HYPERLINK("https://map.naver.com/p/search/오송읍 정중리 797", "지도Link")</f>
        <v/>
      </c>
      <c r="S156" s="6">
        <f>HYPERLINK("http://www.eum.go.kr/web/ar/lu/luLandDet.jsp?pnu=4311325032107970000&amp;isNoScr=script&amp;mode=search",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72.90000000000001</v>
      </c>
      <c r="W156" s="4" t="n">
        <v>4999.8</v>
      </c>
      <c r="X156" s="3" t="inlineStr">
        <is>
          <t>주1</t>
        </is>
      </c>
      <c r="Y156" s="7" t="inlineStr">
        <is>
          <t>3층</t>
        </is>
      </c>
      <c r="Z156" s="3" t="inlineStr">
        <is>
          <t>일반철골구조</t>
        </is>
      </c>
      <c r="AA156" s="3" t="inlineStr">
        <is>
          <t>공장</t>
        </is>
      </c>
      <c r="AB156" s="3" t="inlineStr">
        <is>
          <t>16.68m</t>
        </is>
      </c>
      <c r="AC156" s="3" t="inlineStr">
        <is>
          <t>2019-10</t>
        </is>
      </c>
      <c r="AD156" s="3" t="inlineStr">
        <is>
          <t>광대로한면</t>
        </is>
      </c>
    </row>
    <row r="157">
      <c r="A157" s="3" t="inlineStr">
        <is>
          <t>오송읍 정중리 797</t>
        </is>
      </c>
      <c r="B157" s="3" t="inlineStr">
        <is>
          <t>일반공업지역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45000</v>
      </c>
      <c r="G157" s="4" t="n">
        <v>4500</v>
      </c>
      <c r="H157" s="4" t="n">
        <v>4999</v>
      </c>
      <c r="I157" s="4" t="n">
        <v>1512</v>
      </c>
      <c r="J157" s="5" t="n">
        <v>3</v>
      </c>
      <c r="K157" s="4" t="n">
        <v>9796</v>
      </c>
      <c r="L157" s="4" t="n">
        <v>2963</v>
      </c>
      <c r="M157" s="5" t="n">
        <v>1.5</v>
      </c>
      <c r="N157" s="3" t="inlineStr">
        <is>
          <t>3</t>
        </is>
      </c>
      <c r="O157" s="3" t="inlineStr">
        <is>
          <t>-</t>
        </is>
      </c>
      <c r="P157" s="3" t="inlineStr">
        <is>
          <t>오송산단에 위치한 도로접한 공장, 사무실 및 공장 임대</t>
        </is>
      </c>
      <c r="Q157" s="6">
        <f>HYPERLINK("https://fin.land.naver.com/articles/2647858439", "매물Link")</f>
        <v/>
      </c>
      <c r="R157" s="6">
        <f>HYPERLINK("https://map.naver.com/p/search/오송읍 정중리 797", "지도Link")</f>
        <v/>
      </c>
      <c r="S157" s="6">
        <f>HYPERLINK("http://www.eum.go.kr/web/ar/lu/luLandDet.jsp?pnu=4311325032107970000&amp;isNoScr=script&amp;mode=search",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72.90000000000001</v>
      </c>
      <c r="W157" s="4" t="n">
        <v>4999.8</v>
      </c>
      <c r="X157" s="3" t="inlineStr">
        <is>
          <t>주1</t>
        </is>
      </c>
      <c r="Y157" s="7" t="inlineStr">
        <is>
          <t>3층</t>
        </is>
      </c>
      <c r="Z157" s="3" t="inlineStr">
        <is>
          <t>일반철골구조</t>
        </is>
      </c>
      <c r="AA157" s="3" t="inlineStr">
        <is>
          <t>공장</t>
        </is>
      </c>
      <c r="AB157" s="3" t="inlineStr">
        <is>
          <t>16.68m</t>
        </is>
      </c>
      <c r="AC157" s="3" t="inlineStr">
        <is>
          <t>2019-10</t>
        </is>
      </c>
      <c r="AD157" s="3" t="inlineStr">
        <is>
          <t>광대로한면</t>
        </is>
      </c>
    </row>
    <row r="158">
      <c r="A158" s="3" t="inlineStr">
        <is>
          <t>오송읍 정중리 797</t>
        </is>
      </c>
      <c r="B158" s="3" t="inlineStr">
        <is>
          <t>일반공업지역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1150000</v>
      </c>
      <c r="G158" s="4" t="n">
        <v>0</v>
      </c>
      <c r="H158" s="4" t="n">
        <v>4999</v>
      </c>
      <c r="I158" s="4" t="n">
        <v>1512</v>
      </c>
      <c r="J158" s="5" t="n">
        <v>760.6</v>
      </c>
      <c r="K158" s="4" t="n">
        <v>9796</v>
      </c>
      <c r="L158" s="4" t="n">
        <v>2963</v>
      </c>
      <c r="M158" s="5" t="n">
        <v>388.1</v>
      </c>
      <c r="N158" s="3" t="inlineStr">
        <is>
          <t>3</t>
        </is>
      </c>
      <c r="O158" s="3" t="inlineStr">
        <is>
          <t>-</t>
        </is>
      </c>
      <c r="P158" s="3" t="inlineStr">
        <is>
          <t>전기,화학,의약품,의료,화장품코드 입주 가능,신축형 컨디션</t>
        </is>
      </c>
      <c r="Q158" s="6">
        <f>HYPERLINK("https://fin.land.naver.com/articles/2650198939", "매물Link")</f>
        <v/>
      </c>
      <c r="R158" s="6">
        <f>HYPERLINK("https://map.naver.com/p/search/오송읍 정중리 797", "지도Link")</f>
        <v/>
      </c>
      <c r="S158" s="6">
        <f>HYPERLINK("http://www.eum.go.kr/web/ar/lu/luLandDet.jsp?pnu=4311325032107970000&amp;isNoScr=script&amp;mode=search", "토지이음")</f>
        <v/>
      </c>
      <c r="T158" s="3" t="inlineStr">
        <is>
          <t>금화랜드</t>
        </is>
      </c>
      <c r="U158" s="4" t="n">
        <v>3</v>
      </c>
      <c r="V158" s="5" t="n">
        <v>72.90000000000001</v>
      </c>
      <c r="W158" s="4" t="n">
        <v>4999.8</v>
      </c>
      <c r="X158" s="3" t="inlineStr">
        <is>
          <t>주1</t>
        </is>
      </c>
      <c r="Y158" s="7" t="inlineStr">
        <is>
          <t>3층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16.68m</t>
        </is>
      </c>
      <c r="AC158" s="3" t="inlineStr">
        <is>
          <t>2019-10</t>
        </is>
      </c>
      <c r="AD158" s="3" t="inlineStr">
        <is>
          <t>광대로한면</t>
        </is>
      </c>
    </row>
  </sheetData>
  <autoFilter ref="A1:AD15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HYPERLINK("https://fin.land.naver.com/articles/2645252558",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HYPERLINK("https://fin.land.naver.com/articles/2645909685",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HYPERLINK("https://fin.land.naver.com/articles/2647723025",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385000</v>
      </c>
      <c r="G72" s="4" t="n">
        <v>11570</v>
      </c>
      <c r="H72" s="4" t="n">
        <v>3500</v>
      </c>
      <c r="I72" s="5" t="n">
        <v>110</v>
      </c>
      <c r="J72" s="5" t="n">
        <v>4.1</v>
      </c>
      <c r="K72" s="3" t="inlineStr">
        <is>
          <t>강내 산업단지 인근 토지 l 급매 l 주변 산업단지보다 저렴한 매물</t>
        </is>
      </c>
      <c r="L72" s="6">
        <f>HYPERLINK("https://fin.land.naver.com/articles/2650437178",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에이스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HYPERLINK("https://fin.land.naver.com/articles/2645566618",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HYPERLINK("https://fin.land.naver.com/articles/2645932689",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마을내 평단가 저렴한 대지</t>
        </is>
      </c>
      <c r="L119" s="6">
        <f>HYPERLINK("https://fin.land.naver.com/articles/2645609155",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청담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HYPERLINK("https://fin.land.naver.com/articles/2648833818",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656</v>
      </c>
      <c r="H138" s="4" t="n">
        <v>198</v>
      </c>
      <c r="I138" s="5" t="n">
        <v>111.1</v>
      </c>
      <c r="J138" s="5" t="n">
        <v>22.2</v>
      </c>
      <c r="K138" s="3" t="inlineStr">
        <is>
          <t>부강역 10분, 세종 집현동 15분, 전원주택 건축 추천 건축허가</t>
        </is>
      </c>
      <c r="L138" s="6">
        <f>HYPERLINK("https://fin.land.naver.com/articles/2647457494",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나침반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654</v>
      </c>
      <c r="H139" s="4" t="n">
        <v>198</v>
      </c>
      <c r="I139" s="5" t="n">
        <v>111.1</v>
      </c>
      <c r="J139" s="5" t="n">
        <v>22.2</v>
      </c>
      <c r="K139" s="3" t="inlineStr">
        <is>
          <t>세종10분 청주10분 기반시설완비된 전원주택단지내 저렴한 주택지</t>
        </is>
      </c>
      <c r="L139" s="6">
        <f>HYPERLINK("https://fin.land.naver.com/articles/2648979149",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세종스타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HYPERLINK("https://fin.land.naver.com/articles/2645276286",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오송읍 공북리 163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171000</v>
      </c>
      <c r="G193" s="4" t="n">
        <v>5140</v>
      </c>
      <c r="H193" s="4" t="n">
        <v>1555</v>
      </c>
      <c r="I193" s="5" t="n">
        <v>110</v>
      </c>
      <c r="J193" s="5" t="n">
        <v>28.3</v>
      </c>
      <c r="K193" s="3" t="inlineStr">
        <is>
          <t>공북리토지 투자추천 화장품단지바로인근 2면 농로접함</t>
        </is>
      </c>
      <c r="L193" s="6">
        <f>HYPERLINK("https://fin.land.naver.com/articles/2645269569", "매물Link")</f>
        <v/>
      </c>
      <c r="M193" s="6">
        <f>HYPERLINK("https://map.naver.com/p/search/오송읍 공북리 163", "지도Link")</f>
        <v/>
      </c>
      <c r="N193" s="6">
        <f>HYPERLINK("http://www.eum.go.kr/web/ar/lu/luLandDet.jsp?pnu=4311325023101630000&amp;isNoScr=script&amp;mode=search", "토지이음")</f>
        <v/>
      </c>
      <c r="O193" s="3" t="inlineStr">
        <is>
          <t>오송휴먼캐슬</t>
        </is>
      </c>
      <c r="P193" s="4" t="n">
        <v>2</v>
      </c>
      <c r="Q193" s="4" t="n">
        <v>5140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가로장방</t>
        </is>
      </c>
      <c r="V193" s="3" t="inlineStr">
        <is>
          <t>세로한면(가)</t>
        </is>
      </c>
    </row>
    <row r="194">
      <c r="A194" s="3" t="inlineStr">
        <is>
          <t>오송읍 공북리 184-1</t>
        </is>
      </c>
      <c r="B194" s="3" t="inlineStr">
        <is>
          <t>농림지역</t>
        </is>
      </c>
      <c r="C194" s="3" t="inlineStr">
        <is>
          <t>잡종지</t>
        </is>
      </c>
      <c r="D194" s="3" t="inlineStr">
        <is>
          <t>잡종지</t>
        </is>
      </c>
      <c r="E194" s="3" t="inlineStr">
        <is>
          <t>매매</t>
        </is>
      </c>
      <c r="F194" s="4" t="n">
        <v>130000</v>
      </c>
      <c r="G194" s="4" t="n">
        <v>2146</v>
      </c>
      <c r="H194" s="4" t="n">
        <v>649</v>
      </c>
      <c r="I194" s="5" t="n">
        <v>200.3</v>
      </c>
      <c r="J194" s="5" t="n">
        <v>53.7</v>
      </c>
      <c r="K194" s="3" t="inlineStr">
        <is>
          <t>오송역.산단인접 개발 활용도 좋은 잡종지 토지 매매.2차선 도로접</t>
        </is>
      </c>
      <c r="L194" s="6">
        <f>HYPERLINK("https://fin.land.naver.com/articles/2650636899", "매물Link")</f>
        <v/>
      </c>
      <c r="M194" s="6">
        <f>HYPERLINK("https://map.naver.com/p/search/오송읍 공북리 184-1", "지도Link")</f>
        <v/>
      </c>
      <c r="N194" s="6">
        <f>HYPERLINK("http://www.eum.go.kr/web/ar/lu/luLandDet.jsp?pnu=4311325023101840001&amp;isNoScr=script&amp;mode=search", "토지이음")</f>
        <v/>
      </c>
      <c r="O194" s="3" t="inlineStr">
        <is>
          <t>삼성사무소</t>
        </is>
      </c>
      <c r="P194" s="4" t="n">
        <v>1</v>
      </c>
      <c r="Q194" s="4" t="n">
        <v>746</v>
      </c>
      <c r="R194" s="3" t="inlineStr">
        <is>
          <t>지정되지않음</t>
        </is>
      </c>
      <c r="S194" s="3" t="inlineStr">
        <is>
          <t>단독</t>
        </is>
      </c>
      <c r="T194" s="3" t="inlineStr">
        <is>
          <t>평지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오송읍 공북리 184-2</t>
        </is>
      </c>
      <c r="B195" s="3" t="inlineStr">
        <is>
          <t>농림지역</t>
        </is>
      </c>
      <c r="C195" s="3" t="inlineStr">
        <is>
          <t>잡종지</t>
        </is>
      </c>
      <c r="D195" s="3" t="inlineStr">
        <is>
          <t>잡종지</t>
        </is>
      </c>
      <c r="E195" s="3" t="inlineStr">
        <is>
          <t>매매</t>
        </is>
      </c>
      <c r="F195" s="4" t="n">
        <v>130000</v>
      </c>
      <c r="G195" s="4" t="n">
        <v>2146</v>
      </c>
      <c r="H195" s="4" t="n">
        <v>649</v>
      </c>
      <c r="I195" s="5" t="n">
        <v>200.3</v>
      </c>
      <c r="J195" s="5" t="n">
        <v>53.7</v>
      </c>
      <c r="K195" s="3" t="inlineStr">
        <is>
          <t>2차선 도로 접, 서울 세종간 고속도로 오송진입로 1.3km, 투자 적지</t>
        </is>
      </c>
      <c r="L195" s="6">
        <f>HYPERLINK("https://fin.land.naver.com/articles/2646041698", "매물Link")</f>
        <v/>
      </c>
      <c r="M195" s="6">
        <f>HYPERLINK("https://map.naver.com/p/search/오송읍 공북리 184-2", "지도Link")</f>
        <v/>
      </c>
      <c r="N195" s="6">
        <f>HYPERLINK("http://www.eum.go.kr/web/ar/lu/luLandDet.jsp?pnu=4311325023101840002&amp;isNoScr=script&amp;mode=search", "토지이음")</f>
        <v/>
      </c>
      <c r="O195" s="3" t="inlineStr">
        <is>
          <t>OK파라곤</t>
        </is>
      </c>
      <c r="P195" s="4" t="n">
        <v>1</v>
      </c>
      <c r="Q195" s="4" t="n">
        <v>1400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오송읍 공북리 308-1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전</t>
        </is>
      </c>
      <c r="E196" s="3" t="inlineStr">
        <is>
          <t>매매</t>
        </is>
      </c>
      <c r="F196" s="4" t="n">
        <v>10720</v>
      </c>
      <c r="G196" s="4" t="n">
        <v>222</v>
      </c>
      <c r="H196" s="4" t="n">
        <v>67</v>
      </c>
      <c r="I196" s="5" t="n">
        <v>160</v>
      </c>
      <c r="J196" s="5" t="n">
        <v>75.5</v>
      </c>
      <c r="K196" s="3" t="inlineStr">
        <is>
          <t>공북리 계획관리토지 마을안쪽 국가도로연결됨 저렴소자본 매수가능</t>
        </is>
      </c>
      <c r="L196" s="6">
        <f>HYPERLINK("https://fin.land.naver.com/articles/2647606151", "매물Link")</f>
        <v/>
      </c>
      <c r="M196" s="6">
        <f>HYPERLINK("https://map.naver.com/p/search/오송읍 공북리 308-1", "지도Link")</f>
        <v/>
      </c>
      <c r="N196" s="6">
        <f>HYPERLINK("http://www.eum.go.kr/web/ar/lu/luLandDet.jsp?pnu=4311325023103080001&amp;isNoScr=script&amp;mode=search", "토지이음")</f>
        <v/>
      </c>
      <c r="O196" s="3" t="inlineStr">
        <is>
          <t>자이원</t>
        </is>
      </c>
      <c r="P196" s="4" t="n">
        <v>2</v>
      </c>
      <c r="Q196" s="4" t="n">
        <v>222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세로한면(가)</t>
        </is>
      </c>
    </row>
    <row r="197">
      <c r="A197" s="3" t="inlineStr">
        <is>
          <t>오송읍 공북리 308-2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전</t>
        </is>
      </c>
      <c r="E197" s="3" t="inlineStr">
        <is>
          <t>매매</t>
        </is>
      </c>
      <c r="F197" s="4" t="n">
        <v>108600</v>
      </c>
      <c r="G197" s="4" t="n">
        <v>2244</v>
      </c>
      <c r="H197" s="4" t="n">
        <v>679</v>
      </c>
      <c r="I197" s="5" t="n">
        <v>159.9</v>
      </c>
      <c r="J197" s="5" t="n">
        <v>41.3</v>
      </c>
      <c r="K197" s="3" t="inlineStr">
        <is>
          <t>공북리 계획관리 전 전체 또는 분할 매매 가능</t>
        </is>
      </c>
      <c r="L197" s="6">
        <f>HYPERLINK("https://fin.land.naver.com/articles/2647606366", "매물Link")</f>
        <v/>
      </c>
      <c r="M197" s="6">
        <f>HYPERLINK("https://map.naver.com/p/search/오송읍 공북리 308-2", "지도Link")</f>
        <v/>
      </c>
      <c r="N197" s="6">
        <f>HYPERLINK("http://www.eum.go.kr/web/ar/lu/luLandDet.jsp?pnu=4311325023103080002&amp;isNoScr=script&amp;mode=search", "토지이음")</f>
        <v/>
      </c>
      <c r="O197" s="3" t="inlineStr">
        <is>
          <t>자이원</t>
        </is>
      </c>
      <c r="P197" s="4" t="n">
        <v>2</v>
      </c>
      <c r="Q197" s="4" t="n">
        <v>2244</v>
      </c>
      <c r="R197" s="3" t="inlineStr">
        <is>
          <t>지정되지않음</t>
        </is>
      </c>
      <c r="S197" s="3" t="inlineStr">
        <is>
          <t>전</t>
        </is>
      </c>
      <c r="T197" s="3" t="inlineStr">
        <is>
          <t>평지</t>
        </is>
      </c>
      <c r="U197" s="3" t="inlineStr">
        <is>
          <t>부정형</t>
        </is>
      </c>
      <c r="V197" s="3" t="inlineStr">
        <is>
          <t>세로한면(가)</t>
        </is>
      </c>
    </row>
    <row r="198">
      <c r="A198" s="3" t="inlineStr">
        <is>
          <t>오송읍 공북리 474</t>
        </is>
      </c>
      <c r="B198" s="3" t="inlineStr">
        <is>
          <t>농림지역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586</v>
      </c>
      <c r="H198" s="4" t="n">
        <v>177</v>
      </c>
      <c r="I198" s="5" t="n">
        <v>395.5</v>
      </c>
      <c r="J198" s="5" t="n">
        <v>49.7</v>
      </c>
      <c r="K198" s="3" t="inlineStr">
        <is>
          <t>두필지 매매 미래가치 보고 들어오는 공북리 핵심 토지</t>
        </is>
      </c>
      <c r="L198" s="6">
        <f>HYPERLINK("https://fin.land.naver.com/articles/2646878581", "매물Link")</f>
        <v/>
      </c>
      <c r="M198" s="6">
        <f>HYPERLINK("https://map.naver.com/p/search/오송읍 공북리 474", "지도Link")</f>
        <v/>
      </c>
      <c r="N198" s="6">
        <f>HYPERLINK("http://www.eum.go.kr/web/ar/lu/luLandDet.jsp?pnu=4311325023104740000&amp;isNoScr=script&amp;mode=search", "토지이음")</f>
        <v/>
      </c>
      <c r="O198" s="3" t="inlineStr">
        <is>
          <t>우영</t>
        </is>
      </c>
      <c r="P198" s="4" t="n">
        <v>1</v>
      </c>
      <c r="Q198" s="4" t="n">
        <v>293</v>
      </c>
      <c r="R198" s="3" t="inlineStr">
        <is>
          <t>지정되지않음</t>
        </is>
      </c>
      <c r="S198" s="3" t="inlineStr">
        <is>
          <t>단독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세로한면(가)</t>
        </is>
      </c>
    </row>
    <row r="199">
      <c r="A199" s="3" t="inlineStr">
        <is>
          <t>오송읍 공북리 568-28</t>
        </is>
      </c>
      <c r="B199" s="3" t="inlineStr">
        <is>
          <t>계획관리지역</t>
        </is>
      </c>
      <c r="C199" s="3" t="inlineStr">
        <is>
          <t>잡종지</t>
        </is>
      </c>
      <c r="D199" s="3" t="inlineStr">
        <is>
          <t>대</t>
        </is>
      </c>
      <c r="E199" s="3" t="inlineStr">
        <is>
          <t>매매</t>
        </is>
      </c>
      <c r="F199" s="4" t="n">
        <v>220000</v>
      </c>
      <c r="G199" s="4" t="n">
        <v>2707</v>
      </c>
      <c r="H199" s="4" t="n">
        <v>819</v>
      </c>
      <c r="I199" s="5" t="n">
        <v>268.6</v>
      </c>
      <c r="J199" s="5" t="n">
        <v>72.2</v>
      </c>
      <c r="K199" s="3" t="inlineStr">
        <is>
          <t>오송생명과학단지 바로옆,옥산IC인근,전체 계획관리지역,공장 창고 추천</t>
        </is>
      </c>
      <c r="L199" s="6">
        <f>HYPERLINK("https://fin.land.naver.com/articles/2648182036", "매물Link")</f>
        <v/>
      </c>
      <c r="M199" s="6">
        <f>HYPERLINK("https://map.naver.com/p/search/오송읍 공북리 568-28", "지도Link")</f>
        <v/>
      </c>
      <c r="N199" s="6">
        <f>HYPERLINK("http://www.eum.go.kr/web/ar/lu/luLandDet.jsp?pnu=4311325023105680028&amp;isNoScr=script&amp;mode=search", "토지이음")</f>
        <v/>
      </c>
      <c r="O199" s="3" t="inlineStr">
        <is>
          <t>(주)미르</t>
        </is>
      </c>
      <c r="P199" s="4" t="n">
        <v>1</v>
      </c>
      <c r="Q199" s="4" t="n">
        <v>79</v>
      </c>
      <c r="R199" s="3" t="inlineStr">
        <is>
          <t>지정되지않음</t>
        </is>
      </c>
      <c r="S199" s="3" t="inlineStr">
        <is>
          <t>주거기타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세로한면(가)</t>
        </is>
      </c>
    </row>
    <row r="200">
      <c r="A200" s="3" t="inlineStr">
        <is>
          <t>오송읍 공북리 568-30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220000</v>
      </c>
      <c r="G200" s="4" t="n">
        <v>2707</v>
      </c>
      <c r="H200" s="4" t="n">
        <v>819</v>
      </c>
      <c r="I200" s="5" t="n">
        <v>268.6</v>
      </c>
      <c r="J200" s="5" t="n">
        <v>72.2</v>
      </c>
      <c r="K200" s="3" t="inlineStr">
        <is>
          <t>오송생명과학단지 , 오송 화장품산업단지 인근 공장 창고 추천</t>
        </is>
      </c>
      <c r="L200" s="6">
        <f>HYPERLINK("https://fin.land.naver.com/articles/2646993084", "매물Link")</f>
        <v/>
      </c>
      <c r="M200" s="6">
        <f>HYPERLINK("https://map.naver.com/p/search/오송읍 공북리 568-30", "지도Link")</f>
        <v/>
      </c>
      <c r="N200" s="6">
        <f>HYPERLINK("http://www.eum.go.kr/web/ar/lu/luLandDet.jsp?pnu=4311325023105680030&amp;isNoScr=script&amp;mode=search", "토지이음")</f>
        <v/>
      </c>
      <c r="O200" s="3" t="inlineStr">
        <is>
          <t>더원</t>
        </is>
      </c>
      <c r="P200" s="4" t="n">
        <v>1</v>
      </c>
      <c r="Q200" s="4" t="n">
        <v>144</v>
      </c>
      <c r="R200" s="3" t="inlineStr">
        <is>
          <t>지정되지않음</t>
        </is>
      </c>
      <c r="S200" s="3" t="inlineStr">
        <is>
          <t>주거기타</t>
        </is>
      </c>
      <c r="T200" s="3" t="inlineStr">
        <is>
          <t>평지</t>
        </is>
      </c>
      <c r="U200" s="3" t="inlineStr">
        <is>
          <t>가로장방</t>
        </is>
      </c>
      <c r="V200" s="3" t="inlineStr">
        <is>
          <t>세로한면(가)</t>
        </is>
      </c>
    </row>
    <row r="201">
      <c r="A201" s="3" t="inlineStr">
        <is>
          <t>오송읍 공북리 639-1</t>
        </is>
      </c>
      <c r="B201" s="3" t="inlineStr">
        <is>
          <t>농림지역</t>
        </is>
      </c>
      <c r="C201" s="3" t="inlineStr">
        <is>
          <t>답</t>
        </is>
      </c>
      <c r="D201" s="3" t="inlineStr">
        <is>
          <t>답</t>
        </is>
      </c>
      <c r="E201" s="3" t="inlineStr">
        <is>
          <t>매매</t>
        </is>
      </c>
      <c r="F201" s="4" t="n">
        <v>20600</v>
      </c>
      <c r="G201" s="4" t="n">
        <v>975</v>
      </c>
      <c r="H201" s="4" t="n">
        <v>295</v>
      </c>
      <c r="I201" s="5" t="n">
        <v>69.8</v>
      </c>
      <c r="J201" s="5" t="n">
        <v>21.6</v>
      </c>
      <c r="K201" s="3" t="inlineStr">
        <is>
          <t>오송역 오송철도클러스터단지인근토지 수도 전기 화장실 컨테이너 설치</t>
        </is>
      </c>
      <c r="L201" s="6">
        <f>HYPERLINK("https://fin.land.naver.com/articles/2648195920", "매물Link")</f>
        <v/>
      </c>
      <c r="M201" s="6">
        <f>HYPERLINK("https://map.naver.com/p/search/오송읍 공북리 639-1", "지도Link")</f>
        <v/>
      </c>
      <c r="N201" s="6">
        <f>HYPERLINK("http://www.eum.go.kr/web/ar/lu/luLandDet.jsp?pnu=4311325023106390001&amp;isNoScr=script&amp;mode=search", "토지이음")</f>
        <v/>
      </c>
      <c r="O201" s="3" t="inlineStr">
        <is>
          <t>아임</t>
        </is>
      </c>
      <c r="P201" s="4" t="n">
        <v>2</v>
      </c>
      <c r="Q201" s="4" t="n">
        <v>975</v>
      </c>
      <c r="R201" s="3" t="inlineStr">
        <is>
          <t>생산관리지역</t>
        </is>
      </c>
      <c r="S201" s="3" t="inlineStr">
        <is>
          <t>답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세로한면(가)</t>
        </is>
      </c>
    </row>
    <row r="202">
      <c r="A202" s="3" t="inlineStr">
        <is>
          <t>오송읍 공북리 산 52-7</t>
        </is>
      </c>
      <c r="B202" s="3" t="inlineStr">
        <is>
          <t>보전관리지역</t>
        </is>
      </c>
      <c r="C202" s="3" t="inlineStr">
        <is>
          <t>임야</t>
        </is>
      </c>
      <c r="D202" s="3" t="inlineStr">
        <is>
          <t>임야</t>
        </is>
      </c>
      <c r="E202" s="3" t="inlineStr">
        <is>
          <t>매매</t>
        </is>
      </c>
      <c r="F202" s="4" t="n">
        <v>190000</v>
      </c>
      <c r="G202" s="4" t="n">
        <v>39425</v>
      </c>
      <c r="H202" s="4" t="n">
        <v>11926</v>
      </c>
      <c r="I202" s="5" t="n">
        <v>15.9</v>
      </c>
      <c r="J202" s="5" t="n">
        <v>3.1</v>
      </c>
      <c r="K202" s="3" t="inlineStr">
        <is>
          <t>카폐,전원주택 개발 가능여지 있음</t>
        </is>
      </c>
      <c r="L202" s="6">
        <f>HYPERLINK("https://fin.land.naver.com/articles/2648226259", "매물Link")</f>
        <v/>
      </c>
      <c r="M202" s="6">
        <f>HYPERLINK("https://map.naver.com/p/search/오송읍 공북리 산 52-7", "지도Link")</f>
        <v/>
      </c>
      <c r="N202" s="6">
        <f>HYPERLINK("http://www.eum.go.kr/web/ar/lu/luLandDet.jsp?pnu=4311325023200520007&amp;isNoScr=script&amp;mode=search", "토지이음")</f>
        <v/>
      </c>
      <c r="O202" s="3" t="inlineStr">
        <is>
          <t>조은</t>
        </is>
      </c>
      <c r="P202" s="4" t="n">
        <v>1</v>
      </c>
      <c r="Q202" s="4" t="n">
        <v>2791</v>
      </c>
      <c r="R202" s="3" t="inlineStr">
        <is>
          <t>지정되지않음</t>
        </is>
      </c>
      <c r="S202" s="3" t="inlineStr">
        <is>
          <t>조림</t>
        </is>
      </c>
      <c r="T202" s="3" t="inlineStr">
        <is>
          <t>급경사</t>
        </is>
      </c>
      <c r="U202" s="3" t="inlineStr">
        <is>
          <t>부정형</t>
        </is>
      </c>
      <c r="V202" s="3" t="inlineStr">
        <is>
          <t>맹지</t>
        </is>
      </c>
    </row>
    <row r="203">
      <c r="A203" s="3" t="inlineStr">
        <is>
          <t>오송읍 궁평리 121</t>
        </is>
      </c>
      <c r="B203" s="3" t="inlineStr">
        <is>
          <t>농림지역</t>
        </is>
      </c>
      <c r="C203" s="3" t="inlineStr">
        <is>
          <t>답</t>
        </is>
      </c>
      <c r="D203" s="3" t="inlineStr">
        <is>
          <t>답</t>
        </is>
      </c>
      <c r="E203" s="3" t="inlineStr">
        <is>
          <t>매매</t>
        </is>
      </c>
      <c r="F203" s="4" t="n">
        <v>90000</v>
      </c>
      <c r="G203" s="4" t="n">
        <v>2265</v>
      </c>
      <c r="H203" s="4" t="n">
        <v>685</v>
      </c>
      <c r="I203" s="5" t="n">
        <v>131.4</v>
      </c>
      <c r="J203" s="5" t="n">
        <v>35.7</v>
      </c>
      <c r="K203" s="3" t="inlineStr">
        <is>
          <t>1산단 남측 포장도로접한 하우스 농지</t>
        </is>
      </c>
      <c r="L203" s="6">
        <f>HYPERLINK("https://fin.land.naver.com/articles/2649950672", "매물Link")</f>
        <v/>
      </c>
      <c r="M203" s="6">
        <f>HYPERLINK("https://map.naver.com/p/search/오송읍 궁평리 121", "지도Link")</f>
        <v/>
      </c>
      <c r="N203" s="6">
        <f>HYPERLINK("http://www.eum.go.kr/web/ar/lu/luLandDet.jsp?pnu=4311325027101210000&amp;isNoScr=script&amp;mode=search", "토지이음")</f>
        <v/>
      </c>
      <c r="O203" s="3" t="inlineStr">
        <is>
          <t>오송k랜드</t>
        </is>
      </c>
      <c r="P203" s="4" t="n">
        <v>1</v>
      </c>
      <c r="Q203" s="4" t="n">
        <v>2265</v>
      </c>
      <c r="R203" s="3" t="inlineStr">
        <is>
          <t>지정되지않음</t>
        </is>
      </c>
      <c r="S203" s="3" t="inlineStr">
        <is>
          <t>답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세로한면(가)</t>
        </is>
      </c>
    </row>
    <row r="204">
      <c r="A204" s="3" t="inlineStr">
        <is>
          <t>오송읍 궁평리 204-8</t>
        </is>
      </c>
      <c r="B204" s="3" t="inlineStr">
        <is>
          <t>농림지역</t>
        </is>
      </c>
      <c r="C204" s="3" t="inlineStr">
        <is>
          <t>답</t>
        </is>
      </c>
      <c r="D204" s="3" t="inlineStr">
        <is>
          <t>답</t>
        </is>
      </c>
      <c r="E204" s="3" t="inlineStr">
        <is>
          <t>매매</t>
        </is>
      </c>
      <c r="F204" s="4" t="n">
        <v>95000</v>
      </c>
      <c r="G204" s="4" t="n">
        <v>2036</v>
      </c>
      <c r="H204" s="4" t="n">
        <v>616</v>
      </c>
      <c r="I204" s="5" t="n">
        <v>154.2</v>
      </c>
      <c r="J204" s="5" t="n">
        <v>27.4</v>
      </c>
      <c r="K204" s="3" t="inlineStr">
        <is>
          <t>오송읍 투자가치 높은 토지 매매</t>
        </is>
      </c>
      <c r="L204" s="6">
        <f>HYPERLINK("https://fin.land.naver.com/articles/2647596088", "매물Link")</f>
        <v/>
      </c>
      <c r="M204" s="6">
        <f>HYPERLINK("https://map.naver.com/p/search/오송읍 궁평리 204-8", "지도Link")</f>
        <v/>
      </c>
      <c r="N204" s="6">
        <f>HYPERLINK("http://www.eum.go.kr/web/ar/lu/luLandDet.jsp?pnu=4311325027102040008&amp;isNoScr=script&amp;mode=search", "토지이음")</f>
        <v/>
      </c>
      <c r="O204" s="3" t="inlineStr">
        <is>
          <t>대지</t>
        </is>
      </c>
      <c r="P204" s="4" t="n">
        <v>1</v>
      </c>
      <c r="Q204" s="4" t="n">
        <v>2036</v>
      </c>
      <c r="R204" s="3" t="inlineStr">
        <is>
          <t>지정되지않음</t>
        </is>
      </c>
      <c r="S204" s="3" t="inlineStr">
        <is>
          <t>답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세로한면(가)</t>
        </is>
      </c>
    </row>
    <row r="205">
      <c r="A205" s="3" t="inlineStr">
        <is>
          <t>오송읍 궁평리 213-3</t>
        </is>
      </c>
      <c r="B205" s="3" t="inlineStr">
        <is>
          <t>농림지역</t>
        </is>
      </c>
      <c r="C205" s="3" t="inlineStr">
        <is>
          <t>답</t>
        </is>
      </c>
      <c r="D205" s="3" t="inlineStr">
        <is>
          <t>답</t>
        </is>
      </c>
      <c r="E205" s="3" t="inlineStr">
        <is>
          <t>매매</t>
        </is>
      </c>
      <c r="F205" s="4" t="n">
        <v>47500</v>
      </c>
      <c r="G205" s="4" t="n">
        <v>2093</v>
      </c>
      <c r="H205" s="4" t="n">
        <v>633</v>
      </c>
      <c r="I205" s="5" t="n">
        <v>75</v>
      </c>
      <c r="J205" s="5" t="n">
        <v>30</v>
      </c>
      <c r="K205" s="3" t="inlineStr">
        <is>
          <t>nan</t>
        </is>
      </c>
      <c r="L205" s="6">
        <f>HYPERLINK("https://fin.land.naver.com/articles/2650456829", "매물Link")</f>
        <v/>
      </c>
      <c r="M205" s="6">
        <f>HYPERLINK("https://map.naver.com/p/search/오송읍 궁평리 213-3", "지도Link")</f>
        <v/>
      </c>
      <c r="N205" s="6">
        <f>HYPERLINK("http://www.eum.go.kr/web/ar/lu/luLandDet.jsp?pnu=4311325027102130003&amp;isNoScr=script&amp;mode=search", "토지이음")</f>
        <v/>
      </c>
      <c r="O205" s="3" t="inlineStr">
        <is>
          <t>OK파라곤</t>
        </is>
      </c>
      <c r="P205" s="4" t="n">
        <v>1</v>
      </c>
      <c r="Q205" s="4" t="n">
        <v>2093</v>
      </c>
      <c r="R205" s="3" t="inlineStr">
        <is>
          <t>지정되지않음</t>
        </is>
      </c>
      <c r="S205" s="3" t="inlineStr">
        <is>
          <t>답</t>
        </is>
      </c>
      <c r="T205" s="3" t="inlineStr">
        <is>
          <t>평지</t>
        </is>
      </c>
      <c r="U205" s="3" t="inlineStr">
        <is>
          <t>부정형</t>
        </is>
      </c>
      <c r="V205" s="3" t="inlineStr">
        <is>
          <t>세로한면(가)</t>
        </is>
      </c>
    </row>
    <row r="206">
      <c r="A206" s="3" t="inlineStr">
        <is>
          <t>오송읍 궁평리 216-6</t>
        </is>
      </c>
      <c r="B206" s="3" t="inlineStr">
        <is>
          <t>농림지역</t>
        </is>
      </c>
      <c r="C206" s="3" t="inlineStr">
        <is>
          <t>답</t>
        </is>
      </c>
      <c r="D206" s="3" t="inlineStr">
        <is>
          <t>답</t>
        </is>
      </c>
      <c r="E206" s="3" t="inlineStr">
        <is>
          <t>매매</t>
        </is>
      </c>
      <c r="F206" s="4" t="n">
        <v>90700</v>
      </c>
      <c r="G206" s="4" t="n">
        <v>3740</v>
      </c>
      <c r="H206" s="4" t="n">
        <v>1131</v>
      </c>
      <c r="I206" s="5" t="n">
        <v>80.2</v>
      </c>
      <c r="J206" s="5" t="n">
        <v>27</v>
      </c>
      <c r="K206" s="3" t="inlineStr">
        <is>
          <t>궁평리 청주오스코 인근</t>
        </is>
      </c>
      <c r="L206" s="6">
        <f>HYPERLINK("https://fin.land.naver.com/articles/2647428893", "매물Link")</f>
        <v/>
      </c>
      <c r="M206" s="6">
        <f>HYPERLINK("https://map.naver.com/p/search/오송읍 궁평리 216-6", "지도Link")</f>
        <v/>
      </c>
      <c r="N206" s="6">
        <f>HYPERLINK("http://www.eum.go.kr/web/ar/lu/luLandDet.jsp?pnu=4311325027102160006&amp;isNoScr=script&amp;mode=search", "토지이음")</f>
        <v/>
      </c>
      <c r="O206" s="3" t="inlineStr">
        <is>
          <t>수풀림</t>
        </is>
      </c>
      <c r="P206" s="4" t="n">
        <v>2</v>
      </c>
      <c r="Q206" s="4" t="n">
        <v>3743</v>
      </c>
      <c r="R206" s="3" t="inlineStr">
        <is>
          <t>지정되지않음</t>
        </is>
      </c>
      <c r="S206" s="3" t="inlineStr">
        <is>
          <t>답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세로한면(불)</t>
        </is>
      </c>
    </row>
    <row r="207">
      <c r="A207" s="3" t="inlineStr">
        <is>
          <t>오송읍 궁평리 217-1</t>
        </is>
      </c>
      <c r="B207" s="3" t="inlineStr">
        <is>
          <t>농림지역</t>
        </is>
      </c>
      <c r="C207" s="3" t="inlineStr">
        <is>
          <t>답</t>
        </is>
      </c>
      <c r="D207" s="3" t="inlineStr">
        <is>
          <t>답</t>
        </is>
      </c>
      <c r="E207" s="3" t="inlineStr">
        <is>
          <t>매매</t>
        </is>
      </c>
      <c r="F207" s="4" t="n">
        <v>53500</v>
      </c>
      <c r="G207" s="4" t="n">
        <v>2356</v>
      </c>
      <c r="H207" s="4" t="n">
        <v>713</v>
      </c>
      <c r="I207" s="5" t="n">
        <v>75</v>
      </c>
      <c r="J207" s="5" t="n">
        <v>27</v>
      </c>
      <c r="K207" s="3" t="inlineStr">
        <is>
          <t>오스코 인근, 영농에 종사하면서 지가 상승 기대되는 농지 투자</t>
        </is>
      </c>
      <c r="L207" s="6">
        <f>HYPERLINK("https://fin.land.naver.com/articles/2648152740", "매물Link")</f>
        <v/>
      </c>
      <c r="M207" s="6">
        <f>HYPERLINK("https://map.naver.com/p/search/오송읍 궁평리 217-1", "지도Link")</f>
        <v/>
      </c>
      <c r="N207" s="6">
        <f>HYPERLINK("http://www.eum.go.kr/web/ar/lu/luLandDet.jsp?pnu=4311325027102170001&amp;isNoScr=script&amp;mode=search", "토지이음")</f>
        <v/>
      </c>
      <c r="O207" s="3" t="inlineStr">
        <is>
          <t>제이</t>
        </is>
      </c>
      <c r="P207" s="4" t="n">
        <v>1</v>
      </c>
      <c r="Q207" s="4" t="n">
        <v>2356</v>
      </c>
      <c r="R207" s="3" t="inlineStr">
        <is>
          <t>지정되지않음</t>
        </is>
      </c>
      <c r="S207" s="3" t="inlineStr">
        <is>
          <t>답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세로한면(불)</t>
        </is>
      </c>
    </row>
    <row r="208">
      <c r="A208" s="3" t="inlineStr">
        <is>
          <t>오송읍 궁평리 234-6</t>
        </is>
      </c>
      <c r="B208" s="3" t="inlineStr">
        <is>
          <t>농림지역</t>
        </is>
      </c>
      <c r="C208" s="3" t="inlineStr">
        <is>
          <t>답</t>
        </is>
      </c>
      <c r="D208" s="3" t="inlineStr">
        <is>
          <t>답</t>
        </is>
      </c>
      <c r="E208" s="3" t="inlineStr">
        <is>
          <t>매매</t>
        </is>
      </c>
      <c r="F208" s="4" t="n">
        <v>136000</v>
      </c>
      <c r="G208" s="4" t="n">
        <v>3003</v>
      </c>
      <c r="H208" s="4" t="n">
        <v>908</v>
      </c>
      <c r="I208" s="5" t="n">
        <v>149.8</v>
      </c>
      <c r="J208" s="5" t="n">
        <v>37.1</v>
      </c>
      <c r="K208" s="3" t="inlineStr">
        <is>
          <t>매물특징</t>
        </is>
      </c>
      <c r="L208" s="6">
        <f>HYPERLINK("https://fin.land.naver.com/articles/2648780208", "매물Link")</f>
        <v/>
      </c>
      <c r="M208" s="6">
        <f>HYPERLINK("https://map.naver.com/p/search/오송읍 궁평리 234-6", "지도Link")</f>
        <v/>
      </c>
      <c r="N208" s="6">
        <f>HYPERLINK("http://www.eum.go.kr/web/ar/lu/luLandDet.jsp?pnu=4311325027102340006&amp;isNoScr=script&amp;mode=search", "토지이음")</f>
        <v/>
      </c>
      <c r="O208" s="3" t="inlineStr">
        <is>
          <t>오송궁평마을</t>
        </is>
      </c>
      <c r="P208" s="4" t="n">
        <v>1</v>
      </c>
      <c r="Q208" s="4" t="n">
        <v>3003</v>
      </c>
      <c r="R208" s="3" t="inlineStr">
        <is>
          <t>지정되지않음</t>
        </is>
      </c>
      <c r="S208" s="3" t="inlineStr">
        <is>
          <t>답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세로한면(가)</t>
        </is>
      </c>
    </row>
    <row r="209">
      <c r="A209" s="3" t="inlineStr">
        <is>
          <t>오송읍 궁평리 252-9</t>
        </is>
      </c>
      <c r="B209" s="3" t="inlineStr">
        <is>
          <t>농림지역</t>
        </is>
      </c>
      <c r="C209" s="3" t="inlineStr">
        <is>
          <t>과수원</t>
        </is>
      </c>
      <c r="D209" s="3" t="inlineStr">
        <is>
          <t>과수원</t>
        </is>
      </c>
      <c r="E209" s="3" t="inlineStr">
        <is>
          <t>매매</t>
        </is>
      </c>
      <c r="F209" s="4" t="n">
        <v>160000</v>
      </c>
      <c r="G209" s="4" t="n">
        <v>2951</v>
      </c>
      <c r="H209" s="4" t="n">
        <v>893</v>
      </c>
      <c r="I209" s="5" t="n">
        <v>179.2</v>
      </c>
      <c r="J209" s="5" t="n">
        <v>63</v>
      </c>
      <c r="K209" s="3" t="inlineStr">
        <is>
          <t>오송 2역세권 ,환지 예정지</t>
        </is>
      </c>
      <c r="L209" s="6">
        <f>HYPERLINK("https://fin.land.naver.com/articles/2646725924", "매물Link")</f>
        <v/>
      </c>
      <c r="M209" s="6">
        <f>HYPERLINK("https://map.naver.com/p/search/오송읍 궁평리 252-9", "지도Link")</f>
        <v/>
      </c>
      <c r="N209" s="6">
        <f>HYPERLINK("http://www.eum.go.kr/web/ar/lu/luLandDet.jsp?pnu=4311325027102520009&amp;isNoScr=script&amp;mode=search", "토지이음")</f>
        <v/>
      </c>
      <c r="O209" s="3" t="inlineStr">
        <is>
          <t>오송타운</t>
        </is>
      </c>
      <c r="P209" s="4" t="n">
        <v>1</v>
      </c>
      <c r="Q209" s="4" t="n">
        <v>1874</v>
      </c>
      <c r="R209" s="3" t="inlineStr">
        <is>
          <t>지정되지않음</t>
        </is>
      </c>
      <c r="S209" s="3" t="inlineStr">
        <is>
          <t>과수원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오송읍 궁평리 259-14</t>
        </is>
      </c>
      <c r="B210" s="3" t="inlineStr">
        <is>
          <t>계획관리지역</t>
        </is>
      </c>
      <c r="C210" s="3" t="inlineStr">
        <is>
          <t>전</t>
        </is>
      </c>
      <c r="D210" s="3" t="inlineStr">
        <is>
          <t>전</t>
        </is>
      </c>
      <c r="E210" s="3" t="inlineStr">
        <is>
          <t>매매</t>
        </is>
      </c>
      <c r="F210" s="4" t="n">
        <v>80000</v>
      </c>
      <c r="G210" s="4" t="n">
        <v>1144</v>
      </c>
      <c r="H210" s="4" t="n">
        <v>346</v>
      </c>
      <c r="I210" s="5" t="n">
        <v>231.2</v>
      </c>
      <c r="J210" s="5" t="n">
        <v>93.90000000000001</v>
      </c>
      <c r="K210" s="3" t="inlineStr">
        <is>
          <t>오송역 및 오스코 600m, 6차선 지하차도 예정지에 인접한 계획관리토지</t>
        </is>
      </c>
      <c r="L210" s="6">
        <f>HYPERLINK("https://fin.land.naver.com/articles/2648087819", "매물Link")</f>
        <v/>
      </c>
      <c r="M210" s="6">
        <f>HYPERLINK("https://map.naver.com/p/search/오송읍 궁평리 259-14", "지도Link")</f>
        <v/>
      </c>
      <c r="N210" s="6">
        <f>HYPERLINK("http://www.eum.go.kr/web/ar/lu/luLandDet.jsp?pnu=4311325027102590014&amp;isNoScr=script&amp;mode=search", "토지이음")</f>
        <v/>
      </c>
      <c r="O210" s="3" t="inlineStr">
        <is>
          <t>오송3산단  사무소</t>
        </is>
      </c>
      <c r="P210" s="4" t="n">
        <v>1</v>
      </c>
      <c r="Q210" s="4" t="n">
        <v>1144</v>
      </c>
      <c r="R210" s="3" t="inlineStr">
        <is>
          <t>지정되지않음</t>
        </is>
      </c>
      <c r="S210" s="3" t="inlineStr">
        <is>
          <t>전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세로한면(가)</t>
        </is>
      </c>
    </row>
    <row r="211">
      <c r="A211" s="3" t="inlineStr">
        <is>
          <t>오송읍 궁평리 259-14</t>
        </is>
      </c>
      <c r="B211" s="3" t="inlineStr">
        <is>
          <t>계획관리지역</t>
        </is>
      </c>
      <c r="C211" s="3" t="inlineStr">
        <is>
          <t>전</t>
        </is>
      </c>
      <c r="D211" s="3" t="inlineStr">
        <is>
          <t>전</t>
        </is>
      </c>
      <c r="E211" s="3" t="inlineStr">
        <is>
          <t>매매</t>
        </is>
      </c>
      <c r="F211" s="4" t="n">
        <v>80000</v>
      </c>
      <c r="G211" s="4" t="n">
        <v>1144</v>
      </c>
      <c r="H211" s="4" t="n">
        <v>346</v>
      </c>
      <c r="I211" s="5" t="n">
        <v>231.2</v>
      </c>
      <c r="J211" s="5" t="n">
        <v>93.90000000000001</v>
      </c>
      <c r="K211" s="3" t="inlineStr">
        <is>
          <t>오송역 및 오스코 600m, 6차선 지하차도 예정지에 인접한 계획관리토지</t>
        </is>
      </c>
      <c r="L211" s="6">
        <f>HYPERLINK("https://fin.land.naver.com/articles/2648088525", "매물Link")</f>
        <v/>
      </c>
      <c r="M211" s="6">
        <f>HYPERLINK("https://map.naver.com/p/search/오송읍 궁평리 259-14", "지도Link")</f>
        <v/>
      </c>
      <c r="N211" s="6">
        <f>HYPERLINK("http://www.eum.go.kr/web/ar/lu/luLandDet.jsp?pnu=4311325027102590014&amp;isNoScr=script&amp;mode=search", "토지이음")</f>
        <v/>
      </c>
      <c r="O211" s="3" t="inlineStr">
        <is>
          <t>오송3산단  사무소</t>
        </is>
      </c>
      <c r="P211" s="4" t="n">
        <v>1</v>
      </c>
      <c r="Q211" s="4" t="n">
        <v>1144</v>
      </c>
      <c r="R211" s="3" t="inlineStr">
        <is>
          <t>지정되지않음</t>
        </is>
      </c>
      <c r="S211" s="3" t="inlineStr">
        <is>
          <t>전</t>
        </is>
      </c>
      <c r="T211" s="3" t="inlineStr">
        <is>
          <t>평지</t>
        </is>
      </c>
      <c r="U211" s="3" t="inlineStr">
        <is>
          <t>부정형</t>
        </is>
      </c>
      <c r="V211" s="3" t="inlineStr">
        <is>
          <t>세로한면(가)</t>
        </is>
      </c>
    </row>
    <row r="212">
      <c r="A212" s="3" t="inlineStr">
        <is>
          <t>오송읍 궁평리 272-3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573</v>
      </c>
      <c r="H212" s="4" t="n">
        <v>173</v>
      </c>
      <c r="I212" s="5" t="n">
        <v>462.4</v>
      </c>
      <c r="J212" s="5" t="n">
        <v>161.2</v>
      </c>
      <c r="K212" s="3" t="inlineStr">
        <is>
          <t>173땅 오송역세권 미래투자가치우수한 토지</t>
        </is>
      </c>
      <c r="L212" s="6">
        <f>HYPERLINK("https://fin.land.naver.com/articles/2648360295", "매물Link")</f>
        <v/>
      </c>
      <c r="M212" s="6">
        <f>HYPERLINK("https://map.naver.com/p/search/오송읍 궁평리 272-3", "지도Link")</f>
        <v/>
      </c>
      <c r="N212" s="6">
        <f>HYPERLINK("http://www.eum.go.kr/web/ar/lu/luLandDet.jsp?pnu=4311325027102720003&amp;isNoScr=script&amp;mode=search", "토지이음")</f>
        <v/>
      </c>
      <c r="O212" s="3" t="inlineStr">
        <is>
          <t>하림</t>
        </is>
      </c>
      <c r="P212" s="4" t="n">
        <v>1</v>
      </c>
      <c r="Q212" s="4" t="n">
        <v>573</v>
      </c>
      <c r="R212" s="3" t="inlineStr">
        <is>
          <t>지정되지않음</t>
        </is>
      </c>
      <c r="S212" s="3" t="inlineStr">
        <is>
          <t>단독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세로한면(가)</t>
        </is>
      </c>
    </row>
    <row r="213">
      <c r="A213" s="3" t="inlineStr">
        <is>
          <t>오송읍 궁평리 278-1</t>
        </is>
      </c>
      <c r="B213" s="3" t="inlineStr">
        <is>
          <t>농림지역</t>
        </is>
      </c>
      <c r="C213" s="3" t="inlineStr">
        <is>
          <t>답</t>
        </is>
      </c>
      <c r="D213" s="3" t="inlineStr">
        <is>
          <t>답</t>
        </is>
      </c>
      <c r="E213" s="3" t="inlineStr">
        <is>
          <t>매매</t>
        </is>
      </c>
      <c r="F213" s="4" t="n">
        <v>227000</v>
      </c>
      <c r="G213" s="4" t="n">
        <v>4076</v>
      </c>
      <c r="H213" s="4" t="n">
        <v>1233</v>
      </c>
      <c r="I213" s="5" t="n">
        <v>184.1</v>
      </c>
      <c r="J213" s="5" t="n">
        <v>46.8</v>
      </c>
      <c r="K213" s="3" t="inlineStr">
        <is>
          <t>매물특징</t>
        </is>
      </c>
      <c r="L213" s="6">
        <f>HYPERLINK("https://fin.land.naver.com/articles/2648556391", "매물Link")</f>
        <v/>
      </c>
      <c r="M213" s="6">
        <f>HYPERLINK("https://map.naver.com/p/search/오송읍 궁평리 278-1", "지도Link")</f>
        <v/>
      </c>
      <c r="N213" s="6">
        <f>HYPERLINK("http://www.eum.go.kr/web/ar/lu/luLandDet.jsp?pnu=4311325027102780001&amp;isNoScr=script&amp;mode=search", "토지이음")</f>
        <v/>
      </c>
      <c r="O213" s="3" t="inlineStr">
        <is>
          <t>오송궁평마을</t>
        </is>
      </c>
      <c r="P213" s="4" t="n">
        <v>1</v>
      </c>
      <c r="Q213" s="4" t="n">
        <v>4076</v>
      </c>
      <c r="R213" s="3" t="inlineStr">
        <is>
          <t>지정되지않음</t>
        </is>
      </c>
      <c r="S213" s="3" t="inlineStr">
        <is>
          <t>답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세로한면(불)</t>
        </is>
      </c>
    </row>
    <row r="214">
      <c r="A214" s="3" t="inlineStr">
        <is>
          <t>오송읍 궁평리 296-3</t>
        </is>
      </c>
      <c r="B214" s="3" t="inlineStr">
        <is>
          <t>농림지역</t>
        </is>
      </c>
      <c r="C214" s="3" t="inlineStr">
        <is>
          <t>답</t>
        </is>
      </c>
      <c r="D214" s="3" t="inlineStr">
        <is>
          <t>답</t>
        </is>
      </c>
      <c r="E214" s="3" t="inlineStr">
        <is>
          <t>매매</t>
        </is>
      </c>
      <c r="F214" s="4" t="n">
        <v>150000</v>
      </c>
      <c r="G214" s="4" t="n">
        <v>3967</v>
      </c>
      <c r="H214" s="4" t="n">
        <v>1200</v>
      </c>
      <c r="I214" s="5" t="n">
        <v>125</v>
      </c>
      <c r="J214" s="5" t="n">
        <v>53.7</v>
      </c>
      <c r="K214" s="3" t="inlineStr">
        <is>
          <t>오송역 인근 장래개발 호재지역 투자용 대토용 조경업 농림관련산업</t>
        </is>
      </c>
      <c r="L214" s="6">
        <f>HYPERLINK("https://fin.land.naver.com/articles/2646263708", "매물Link")</f>
        <v/>
      </c>
      <c r="M214" s="6">
        <f>HYPERLINK("https://map.naver.com/p/search/오송읍 궁평리 296-3", "지도Link")</f>
        <v/>
      </c>
      <c r="N214" s="6">
        <f>HYPERLINK("http://www.eum.go.kr/web/ar/lu/luLandDet.jsp?pnu=4311325027102960003&amp;isNoScr=script&amp;mode=search", "토지이음")</f>
        <v/>
      </c>
      <c r="O214" s="3" t="inlineStr">
        <is>
          <t>재일합동사무소</t>
        </is>
      </c>
      <c r="P214" s="4" t="n">
        <v>1</v>
      </c>
      <c r="Q214" s="4" t="n">
        <v>3967</v>
      </c>
      <c r="R214" s="3" t="inlineStr">
        <is>
          <t>지정되지않음</t>
        </is>
      </c>
      <c r="S214" s="3" t="inlineStr">
        <is>
          <t>답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세로한면(가)</t>
        </is>
      </c>
    </row>
    <row r="215">
      <c r="A215" s="3" t="inlineStr">
        <is>
          <t>오송읍 궁평리 303-1</t>
        </is>
      </c>
      <c r="B215" s="3" t="inlineStr">
        <is>
          <t>농림지역</t>
        </is>
      </c>
      <c r="C215" s="3" t="inlineStr">
        <is>
          <t>과수원</t>
        </is>
      </c>
      <c r="D215" s="3" t="inlineStr">
        <is>
          <t>과수원</t>
        </is>
      </c>
      <c r="E215" s="3" t="inlineStr">
        <is>
          <t>매매</t>
        </is>
      </c>
      <c r="F215" s="4" t="n">
        <v>105000</v>
      </c>
      <c r="G215" s="4" t="n">
        <v>1523</v>
      </c>
      <c r="H215" s="4" t="n">
        <v>461</v>
      </c>
      <c r="I215" s="5" t="n">
        <v>227.8</v>
      </c>
      <c r="J215" s="5" t="n">
        <v>63</v>
      </c>
      <c r="K215" s="3" t="inlineStr">
        <is>
          <t>도로 접한 과수원 부지 매도 오송역 인근 장래 개발 호재 지역</t>
        </is>
      </c>
      <c r="L215" s="6">
        <f>HYPERLINK("https://fin.land.naver.com/articles/2649497254", "매물Link")</f>
        <v/>
      </c>
      <c r="M215" s="6">
        <f>HYPERLINK("https://map.naver.com/p/search/오송읍 궁평리 303-1", "지도Link")</f>
        <v/>
      </c>
      <c r="N215" s="6">
        <f>HYPERLINK("http://www.eum.go.kr/web/ar/lu/luLandDet.jsp?pnu=4311325027103030001&amp;isNoScr=script&amp;mode=search", "토지이음")</f>
        <v/>
      </c>
      <c r="O215" s="3" t="inlineStr">
        <is>
          <t>오송퍼스트영웅</t>
        </is>
      </c>
      <c r="P215" s="4" t="n">
        <v>1</v>
      </c>
      <c r="Q215" s="4" t="n">
        <v>1523</v>
      </c>
      <c r="R215" s="3" t="inlineStr">
        <is>
          <t>지정되지않음</t>
        </is>
      </c>
      <c r="S215" s="3" t="inlineStr">
        <is>
          <t>과수원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오송읍 궁평리 61-6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40000</v>
      </c>
      <c r="G216" s="4" t="n">
        <v>347</v>
      </c>
      <c r="H216" s="4" t="n">
        <v>105</v>
      </c>
      <c r="I216" s="5" t="n">
        <v>381</v>
      </c>
      <c r="J216" s="5" t="n">
        <v>103.6</v>
      </c>
      <c r="K216" s="3" t="inlineStr">
        <is>
          <t>궁평리 전원주택 지을 토지 매매.</t>
        </is>
      </c>
      <c r="L216" s="6">
        <f>HYPERLINK("https://fin.land.naver.com/articles/2646658318", "매물Link")</f>
        <v/>
      </c>
      <c r="M216" s="6">
        <f>HYPERLINK("https://map.naver.com/p/search/오송읍 궁평리 61-6", "지도Link")</f>
        <v/>
      </c>
      <c r="N216" s="6">
        <f>HYPERLINK("http://www.eum.go.kr/web/ar/lu/luLandDet.jsp?pnu=4311325027100610006&amp;isNoScr=script&amp;mode=search", "토지이음")</f>
        <v/>
      </c>
      <c r="O216" s="3" t="inlineStr">
        <is>
          <t>대한민국</t>
        </is>
      </c>
      <c r="P216" s="4" t="n">
        <v>1</v>
      </c>
      <c r="Q216" s="4" t="n">
        <v>347</v>
      </c>
      <c r="R216" s="3" t="inlineStr">
        <is>
          <t>지정되지않음</t>
        </is>
      </c>
      <c r="S216" s="3" t="inlineStr">
        <is>
          <t>단독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세로한면(가)</t>
        </is>
      </c>
    </row>
    <row r="217">
      <c r="A217" s="3" t="inlineStr">
        <is>
          <t>오송읍 궁평리 75-1</t>
        </is>
      </c>
      <c r="B217" s="3" t="inlineStr">
        <is>
          <t>농림지역</t>
        </is>
      </c>
      <c r="C217" s="3" t="inlineStr">
        <is>
          <t>전</t>
        </is>
      </c>
      <c r="D217" s="3" t="inlineStr">
        <is>
          <t>답</t>
        </is>
      </c>
      <c r="E217" s="3" t="inlineStr">
        <is>
          <t>매매</t>
        </is>
      </c>
      <c r="F217" s="4" t="n">
        <v>31700</v>
      </c>
      <c r="G217" s="4" t="n">
        <v>614</v>
      </c>
      <c r="H217" s="4" t="n">
        <v>186</v>
      </c>
      <c r="I217" s="5" t="n">
        <v>170.4</v>
      </c>
      <c r="J217" s="5" t="n">
        <v>37.1</v>
      </c>
      <c r="K217" s="3" t="inlineStr">
        <is>
          <t>투자가치로 적극 추천하는 궁평리 중심 토지</t>
        </is>
      </c>
      <c r="L217" s="6">
        <f>HYPERLINK("https://fin.land.naver.com/articles/2650824873", "매물Link")</f>
        <v/>
      </c>
      <c r="M217" s="6">
        <f>HYPERLINK("https://map.naver.com/p/search/오송읍 궁평리 75-1", "지도Link")</f>
        <v/>
      </c>
      <c r="N217" s="6">
        <f>HYPERLINK("http://www.eum.go.kr/web/ar/lu/luLandDet.jsp?pnu=4311325027100750001&amp;isNoScr=script&amp;mode=search", "토지이음")</f>
        <v/>
      </c>
      <c r="O217" s="3" t="inlineStr">
        <is>
          <t>국제</t>
        </is>
      </c>
      <c r="P217" s="4" t="n">
        <v>1</v>
      </c>
      <c r="Q217" s="4" t="n">
        <v>3078</v>
      </c>
      <c r="R217" s="3" t="inlineStr">
        <is>
          <t>지정되지않음</t>
        </is>
      </c>
      <c r="S217" s="3" t="inlineStr">
        <is>
          <t>답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세로각지(가)</t>
        </is>
      </c>
    </row>
    <row r="218">
      <c r="A218" s="3" t="inlineStr">
        <is>
          <t>오송읍 동평리 151-5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23000</v>
      </c>
      <c r="G218" s="4" t="n">
        <v>271</v>
      </c>
      <c r="H218" s="4" t="n">
        <v>82</v>
      </c>
      <c r="I218" s="5" t="n">
        <v>280.5</v>
      </c>
      <c r="J218" s="5" t="n">
        <v>104.2</v>
      </c>
      <c r="K218" s="3" t="inlineStr">
        <is>
          <t>국가산단 수용지에 연접한 계획관리 대지, 착한가격의 투자매물</t>
        </is>
      </c>
      <c r="L218" s="6">
        <f>HYPERLINK("https://fin.land.naver.com/articles/2648088196", "매물Link")</f>
        <v/>
      </c>
      <c r="M218" s="6">
        <f>HYPERLINK("https://map.naver.com/p/search/오송읍 동평리 151-5", "지도Link")</f>
        <v/>
      </c>
      <c r="N218" s="6">
        <f>HYPERLINK("http://www.eum.go.kr/web/ar/lu/luLandDet.jsp?pnu=4311325029101510005&amp;isNoScr=script&amp;mode=search", "토지이음")</f>
        <v/>
      </c>
      <c r="O218" s="3" t="inlineStr">
        <is>
          <t>오송3산단  사무소</t>
        </is>
      </c>
      <c r="P218" s="4" t="n">
        <v>1</v>
      </c>
      <c r="Q218" s="4" t="n">
        <v>271</v>
      </c>
      <c r="R218" s="3" t="inlineStr">
        <is>
          <t>지정되지않음</t>
        </is>
      </c>
      <c r="S218" s="3" t="inlineStr">
        <is>
          <t>단독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세로한면(가)</t>
        </is>
      </c>
    </row>
    <row r="219">
      <c r="A219" s="3" t="inlineStr">
        <is>
          <t>오송읍 동평리 381-13</t>
        </is>
      </c>
      <c r="B219" s="3" t="inlineStr">
        <is>
          <t>농림지역</t>
        </is>
      </c>
      <c r="C219" s="3" t="inlineStr">
        <is>
          <t>답</t>
        </is>
      </c>
      <c r="D219" s="3" t="inlineStr">
        <is>
          <t>답</t>
        </is>
      </c>
      <c r="E219" s="3" t="inlineStr">
        <is>
          <t>매매</t>
        </is>
      </c>
      <c r="F219" s="4" t="n">
        <v>36000</v>
      </c>
      <c r="G219" s="4" t="n">
        <v>2070</v>
      </c>
      <c r="H219" s="4" t="n">
        <v>626</v>
      </c>
      <c r="I219" s="5" t="n">
        <v>57.5</v>
      </c>
      <c r="J219" s="5" t="n">
        <v>26.6</v>
      </c>
      <c r="K219" s="3" t="inlineStr">
        <is>
          <t>오송3산단 수용지에 인접한 추가수용 유력토지, 착한가격의 투자용 매물</t>
        </is>
      </c>
      <c r="L219" s="6">
        <f>HYPERLINK("https://fin.land.naver.com/articles/2648084687", "매물Link")</f>
        <v/>
      </c>
      <c r="M219" s="6">
        <f>HYPERLINK("https://map.naver.com/p/search/오송읍 동평리 381-13", "지도Link")</f>
        <v/>
      </c>
      <c r="N219" s="6">
        <f>HYPERLINK("http://www.eum.go.kr/web/ar/lu/luLandDet.jsp?pnu=4311325029103810013&amp;isNoScr=script&amp;mode=search", "토지이음")</f>
        <v/>
      </c>
      <c r="O219" s="3" t="inlineStr">
        <is>
          <t>오송3산단  사무소</t>
        </is>
      </c>
      <c r="P219" s="4" t="n">
        <v>1</v>
      </c>
      <c r="Q219" s="4" t="n">
        <v>1769</v>
      </c>
      <c r="R219" s="3" t="inlineStr">
        <is>
          <t>지정되지않음</t>
        </is>
      </c>
      <c r="S219" s="3" t="inlineStr">
        <is>
          <t>답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세로한면(불)</t>
        </is>
      </c>
    </row>
    <row r="220">
      <c r="A220" s="3" t="inlineStr">
        <is>
          <t>오송읍 만수리 272-3</t>
        </is>
      </c>
      <c r="B220" s="3" t="inlineStr">
        <is>
          <t>농림지역</t>
        </is>
      </c>
      <c r="C220" s="3" t="inlineStr">
        <is>
          <t>답</t>
        </is>
      </c>
      <c r="D220" s="3" t="inlineStr">
        <is>
          <t>답</t>
        </is>
      </c>
      <c r="E220" s="3" t="inlineStr">
        <is>
          <t>매매</t>
        </is>
      </c>
      <c r="F220" s="4" t="n">
        <v>36000</v>
      </c>
      <c r="G220" s="4" t="n">
        <v>1183</v>
      </c>
      <c r="H220" s="4" t="n">
        <v>358</v>
      </c>
      <c r="I220" s="5" t="n">
        <v>100.6</v>
      </c>
      <c r="J220" s="5" t="n">
        <v>35.7</v>
      </c>
      <c r="K220" s="3" t="inlineStr">
        <is>
          <t>농림지역 답 매도 오송 역세권 ktx  근접  투자 가치 뿜뿜</t>
        </is>
      </c>
      <c r="L220" s="6">
        <f>HYPERLINK("https://fin.land.naver.com/articles/2648939038", "매물Link")</f>
        <v/>
      </c>
      <c r="M220" s="6">
        <f>HYPERLINK("https://map.naver.com/p/search/오송읍 만수리 272-3", "지도Link")</f>
        <v/>
      </c>
      <c r="N220" s="6">
        <f>HYPERLINK("http://www.eum.go.kr/web/ar/lu/luLandDet.jsp?pnu=4311325025102720003&amp;isNoScr=script&amp;mode=search", "토지이음")</f>
        <v/>
      </c>
      <c r="O220" s="3" t="inlineStr">
        <is>
          <t>오송퍼스트영웅</t>
        </is>
      </c>
      <c r="P220" s="4" t="n">
        <v>1</v>
      </c>
      <c r="Q220" s="4" t="n">
        <v>1183</v>
      </c>
      <c r="R220" s="3" t="inlineStr">
        <is>
          <t>지정되지않음</t>
        </is>
      </c>
      <c r="S220" s="3" t="inlineStr">
        <is>
          <t>답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세로한면(가)</t>
        </is>
      </c>
    </row>
    <row r="221">
      <c r="A221" s="3" t="inlineStr">
        <is>
          <t>오송읍 만수리 523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240000</v>
      </c>
      <c r="G221" s="4" t="n">
        <v>590</v>
      </c>
      <c r="H221" s="4" t="n">
        <v>178</v>
      </c>
      <c r="I221" s="5" t="n">
        <v>1348.3</v>
      </c>
      <c r="J221" s="5" t="n">
        <v>728.3</v>
      </c>
      <c r="K221" s="3" t="inlineStr">
        <is>
          <t>nan</t>
        </is>
      </c>
      <c r="L221" s="6">
        <f>HYPERLINK("https://fin.land.naver.com/articles/2646728610", "매물Link")</f>
        <v/>
      </c>
      <c r="M221" s="6">
        <f>HYPERLINK("https://map.naver.com/p/search/오송읍 만수리 523", "지도Link")</f>
        <v/>
      </c>
      <c r="N221" s="6">
        <f>HYPERLINK("http://www.eum.go.kr/web/ar/lu/luLandDet.jsp?pnu=4311325025105230000&amp;isNoScr=script&amp;mode=search", "토지이음")</f>
        <v/>
      </c>
      <c r="O221" s="3" t="inlineStr">
        <is>
          <t>오송타운</t>
        </is>
      </c>
      <c r="P221" s="4" t="n">
        <v>1</v>
      </c>
      <c r="Q221" s="4" t="n">
        <v>590.2</v>
      </c>
      <c r="R221" s="3" t="inlineStr">
        <is>
          <t>지정되지않음</t>
        </is>
      </c>
      <c r="S221" s="3" t="inlineStr">
        <is>
          <t>상업용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광대소각</t>
        </is>
      </c>
    </row>
    <row r="222">
      <c r="A222" s="3" t="inlineStr">
        <is>
          <t>오송읍 만수리 704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263</v>
      </c>
      <c r="H222" s="4" t="n">
        <v>80</v>
      </c>
      <c r="I222" s="5" t="n">
        <v>875</v>
      </c>
      <c r="J222" s="5" t="n">
        <v>229.4</v>
      </c>
      <c r="K222" s="3" t="inlineStr">
        <is>
          <t>오송역300m역세권   최적의단독주택용지   오송생명과학단지인근</t>
        </is>
      </c>
      <c r="L222" s="6">
        <f>HYPERLINK("https://fin.land.naver.com/articles/2648270874", "매물Link")</f>
        <v/>
      </c>
      <c r="M222" s="6">
        <f>HYPERLINK("https://map.naver.com/p/search/오송읍 만수리 704", "지도Link")</f>
        <v/>
      </c>
      <c r="N222" s="6">
        <f>HYPERLINK("http://www.eum.go.kr/web/ar/lu/luLandDet.jsp?pnu=4311325025107040000&amp;isNoScr=script&amp;mode=search", "토지이음")</f>
        <v/>
      </c>
      <c r="O222" s="3" t="inlineStr">
        <is>
          <t>연세</t>
        </is>
      </c>
      <c r="P222" s="4" t="n">
        <v>1</v>
      </c>
      <c r="Q222" s="4" t="n">
        <v>263.6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오송읍 만수리 794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66000</v>
      </c>
      <c r="G223" s="4" t="n">
        <v>352</v>
      </c>
      <c r="H223" s="4" t="n">
        <v>106</v>
      </c>
      <c r="I223" s="5" t="n">
        <v>622.6</v>
      </c>
      <c r="J223" s="5" t="n">
        <v>241.8</v>
      </c>
      <c r="K223" s="3" t="inlineStr">
        <is>
          <t>오송역근접300m거리, 완성된 계획도시에 하나 남은 코너 건부지</t>
        </is>
      </c>
      <c r="L223" s="6">
        <f>HYPERLINK("https://fin.land.naver.com/articles/2647846334", "매물Link")</f>
        <v/>
      </c>
      <c r="M223" s="6">
        <f>HYPERLINK("https://map.naver.com/p/search/오송읍 만수리 794", "지도Link")</f>
        <v/>
      </c>
      <c r="N223" s="6">
        <f>HYPERLINK("http://www.eum.go.kr/web/ar/lu/luLandDet.jsp?pnu=4311325025107940000&amp;isNoScr=script&amp;mode=search", "토지이음")</f>
        <v/>
      </c>
      <c r="O223" s="3" t="inlineStr">
        <is>
          <t>청주더존</t>
        </is>
      </c>
      <c r="P223" s="4" t="n">
        <v>1</v>
      </c>
      <c r="Q223" s="4" t="n">
        <v>352.6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소로각지</t>
        </is>
      </c>
    </row>
    <row r="224">
      <c r="A224" s="3" t="inlineStr">
        <is>
          <t>오송읍 만수리 939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269</v>
      </c>
      <c r="H224" s="4" t="n">
        <v>81</v>
      </c>
      <c r="I224" s="5" t="n">
        <v>555.6</v>
      </c>
      <c r="J224" s="5" t="n">
        <v>209.3</v>
      </c>
      <c r="K224" s="3" t="inlineStr">
        <is>
          <t>대도로변 이면도로 위치 좋은 토지입니다</t>
        </is>
      </c>
      <c r="L224" s="6">
        <f>HYPERLINK("https://fin.land.naver.com/articles/2650305364", "매물Link")</f>
        <v/>
      </c>
      <c r="M224" s="6">
        <f>HYPERLINK("https://map.naver.com/p/search/오송읍 만수리 939", "지도Link")</f>
        <v/>
      </c>
      <c r="N224" s="6">
        <f>HYPERLINK("http://www.eum.go.kr/web/ar/lu/luLandDet.jsp?pnu=4311325025109390000&amp;isNoScr=script&amp;mode=search", "토지이음")</f>
        <v/>
      </c>
      <c r="O224" s="3" t="inlineStr">
        <is>
          <t>스케치</t>
        </is>
      </c>
      <c r="P224" s="4" t="n">
        <v>1</v>
      </c>
      <c r="Q224" s="4" t="n">
        <v>268.2</v>
      </c>
      <c r="R224" s="3" t="inlineStr">
        <is>
          <t>자연녹지지역</t>
        </is>
      </c>
      <c r="S224" s="3" t="inlineStr">
        <is>
          <t>주상나지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소로한면</t>
        </is>
      </c>
    </row>
    <row r="225">
      <c r="A225" s="3" t="inlineStr">
        <is>
          <t>오송읍 봉산리 1124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240</v>
      </c>
      <c r="H225" s="4" t="n">
        <v>73</v>
      </c>
      <c r="I225" s="5" t="n">
        <v>616.4</v>
      </c>
      <c r="J225" s="5" t="n">
        <v>208.1</v>
      </c>
      <c r="K225" s="3" t="inlineStr">
        <is>
          <t>가격조율 최대한 해볼게요 위치좋은 먹자골목 상권 토지</t>
        </is>
      </c>
      <c r="L225" s="6">
        <f>HYPERLINK("https://fin.land.naver.com/articles/2646394067", "매물Link")</f>
        <v/>
      </c>
      <c r="M225" s="6">
        <f>HYPERLINK("https://map.naver.com/p/search/오송읍 봉산리 1124", "지도Link")</f>
        <v/>
      </c>
      <c r="N225" s="6">
        <f>HYPERLINK("http://www.eum.go.kr/web/ar/lu/luLandDet.jsp?pnu=4311325031111240000&amp;isNoScr=script&amp;mode=search", "토지이음")</f>
        <v/>
      </c>
      <c r="O225" s="3" t="inlineStr">
        <is>
          <t>복덩이</t>
        </is>
      </c>
      <c r="P225" s="4" t="n">
        <v>1</v>
      </c>
      <c r="Q225" s="4" t="n">
        <v>240.6</v>
      </c>
      <c r="R225" s="3" t="inlineStr">
        <is>
          <t>지정되지않음</t>
        </is>
      </c>
      <c r="S225" s="3" t="inlineStr">
        <is>
          <t>주거기타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오송읍 봉산리 1179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270</v>
      </c>
      <c r="H226" s="4" t="n">
        <v>82</v>
      </c>
      <c r="I226" s="5" t="n">
        <v>707.3</v>
      </c>
      <c r="J226" s="5" t="n">
        <v>206.3</v>
      </c>
      <c r="K226" s="3" t="inlineStr">
        <is>
          <t>오송2단지 허가득 남향 상가건물 지을 수 있는 토지</t>
        </is>
      </c>
      <c r="L226" s="6">
        <f>HYPERLINK("https://fin.land.naver.com/articles/2650461950", "매물Link")</f>
        <v/>
      </c>
      <c r="M226" s="6">
        <f>HYPERLINK("https://map.naver.com/p/search/오송읍 봉산리 1179", "지도Link")</f>
        <v/>
      </c>
      <c r="N226" s="6">
        <f>HYPERLINK("http://www.eum.go.kr/web/ar/lu/luLandDet.jsp?pnu=4311325031111790000&amp;isNoScr=script&amp;mode=search", "토지이음")</f>
        <v/>
      </c>
      <c r="O226" s="3" t="inlineStr">
        <is>
          <t>세종오송</t>
        </is>
      </c>
      <c r="P226" s="4" t="n">
        <v>1</v>
      </c>
      <c r="Q226" s="4" t="n">
        <v>269.9</v>
      </c>
      <c r="R226" s="3" t="inlineStr">
        <is>
          <t>지정되지않음</t>
        </is>
      </c>
      <c r="S226" s="3" t="inlineStr">
        <is>
          <t>주거기타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오송읍 봉산리 1208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264</v>
      </c>
      <c r="H227" s="4" t="n">
        <v>80</v>
      </c>
      <c r="I227" s="5" t="n">
        <v>625</v>
      </c>
      <c r="J227" s="5" t="n">
        <v>206.3</v>
      </c>
      <c r="K227" s="3" t="inlineStr">
        <is>
          <t>nan</t>
        </is>
      </c>
      <c r="L227" s="6">
        <f>HYPERLINK("https://fin.land.naver.com/articles/2650507610", "매물Link")</f>
        <v/>
      </c>
      <c r="M227" s="6">
        <f>HYPERLINK("https://map.naver.com/p/search/오송읍 봉산리 1208", "지도Link")</f>
        <v/>
      </c>
      <c r="N227" s="6">
        <f>HYPERLINK("http://www.eum.go.kr/web/ar/lu/luLandDet.jsp?pnu=4311325031112080000&amp;isNoScr=script&amp;mode=search", "토지이음")</f>
        <v/>
      </c>
      <c r="O227" s="3" t="inlineStr">
        <is>
          <t>아임</t>
        </is>
      </c>
      <c r="P227" s="4" t="n">
        <v>1</v>
      </c>
      <c r="Q227" s="4" t="n">
        <v>264.6</v>
      </c>
      <c r="R227" s="3" t="inlineStr">
        <is>
          <t>지정되지않음</t>
        </is>
      </c>
      <c r="S227" s="3" t="inlineStr">
        <is>
          <t>주거기타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오송읍 봉산리 1209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264</v>
      </c>
      <c r="H228" s="4" t="n">
        <v>80</v>
      </c>
      <c r="I228" s="5" t="n">
        <v>750</v>
      </c>
      <c r="J228" s="5" t="n">
        <v>206.3</v>
      </c>
      <c r="K228" s="3" t="inlineStr">
        <is>
          <t>오송 2산업단지 준주거지역과 접해있고 상업지역과도 50m정도 떨어져 있음</t>
        </is>
      </c>
      <c r="L228" s="6">
        <f>HYPERLINK("https://fin.land.naver.com/articles/2650022122", "매물Link")</f>
        <v/>
      </c>
      <c r="M228" s="6">
        <f>HYPERLINK("https://map.naver.com/p/search/오송읍 봉산리 1209", "지도Link")</f>
        <v/>
      </c>
      <c r="N228" s="6">
        <f>HYPERLINK("http://www.eum.go.kr/web/ar/lu/luLandDet.jsp?pnu=4311325031112090000&amp;isNoScr=script&amp;mode=search", "토지이음")</f>
        <v/>
      </c>
      <c r="O228" s="3" t="inlineStr">
        <is>
          <t>스마일세종</t>
        </is>
      </c>
      <c r="P228" s="4" t="n">
        <v>1</v>
      </c>
      <c r="Q228" s="4" t="n">
        <v>264.8</v>
      </c>
      <c r="R228" s="3" t="inlineStr">
        <is>
          <t>지정되지않음</t>
        </is>
      </c>
      <c r="S228" s="3" t="inlineStr">
        <is>
          <t>주거기타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오송읍 봉산리 1221</t>
        </is>
      </c>
      <c r="B229" s="3" t="inlineStr">
        <is>
          <t>준주거지역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124630</v>
      </c>
      <c r="G229" s="4" t="n">
        <v>412</v>
      </c>
      <c r="H229" s="4" t="n">
        <v>125</v>
      </c>
      <c r="I229" s="5" t="n">
        <v>997</v>
      </c>
      <c r="J229" s="5" t="n">
        <v>624.1</v>
      </c>
      <c r="K229" s="3" t="inlineStr">
        <is>
          <t>오송2산단 준주거지역</t>
        </is>
      </c>
      <c r="L229" s="6">
        <f>HYPERLINK("https://fin.land.naver.com/articles/2645321108", "매물Link")</f>
        <v/>
      </c>
      <c r="M229" s="6">
        <f>HYPERLINK("https://map.naver.com/p/search/오송읍 봉산리 1221", "지도Link")</f>
        <v/>
      </c>
      <c r="N229" s="6">
        <f>HYPERLINK("http://www.eum.go.kr/web/ar/lu/luLandDet.jsp?pnu=4311325031112210000&amp;isNoScr=script&amp;mode=search", "토지이음")</f>
        <v/>
      </c>
      <c r="O229" s="3" t="inlineStr">
        <is>
          <t>365</t>
        </is>
      </c>
      <c r="P229" s="4" t="n">
        <v>1</v>
      </c>
      <c r="Q229" s="4" t="n">
        <v>412</v>
      </c>
      <c r="R229" s="3" t="inlineStr">
        <is>
          <t>지정되지않음</t>
        </is>
      </c>
      <c r="S229" s="3" t="inlineStr">
        <is>
          <t>상업기타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중로각지</t>
        </is>
      </c>
    </row>
    <row r="230">
      <c r="A230" s="3" t="inlineStr">
        <is>
          <t>오송읍 봉산리 1276</t>
        </is>
      </c>
      <c r="B230" s="3" t="inlineStr">
        <is>
          <t>제1종일반주거지역</t>
        </is>
      </c>
      <c r="C230" s="3" t="inlineStr">
        <is>
          <t>주차장</t>
        </is>
      </c>
      <c r="D230" s="3" t="inlineStr">
        <is>
          <t>주차장</t>
        </is>
      </c>
      <c r="E230" s="3" t="inlineStr">
        <is>
          <t>매매</t>
        </is>
      </c>
      <c r="F230" s="4" t="n">
        <v>165000</v>
      </c>
      <c r="G230" s="4" t="n">
        <v>1091</v>
      </c>
      <c r="H230" s="4" t="n">
        <v>330</v>
      </c>
      <c r="I230" s="5" t="n">
        <v>500</v>
      </c>
      <c r="J230" s="5" t="n">
        <v>220.4</v>
      </c>
      <c r="K230" s="3" t="inlineStr">
        <is>
          <t>오송역세권 주차장용지로 1층 상가, 2,3,4 층 주차타워 추천</t>
        </is>
      </c>
      <c r="L230" s="6">
        <f>HYPERLINK("https://fin.land.naver.com/articles/2650794487", "매물Link")</f>
        <v/>
      </c>
      <c r="M230" s="6">
        <f>HYPERLINK("https://map.naver.com/p/search/오송읍 봉산리 1276", "지도Link")</f>
        <v/>
      </c>
      <c r="N230" s="6">
        <f>HYPERLINK("http://www.eum.go.kr/web/ar/lu/luLandDet.jsp?pnu=4311325031112760000&amp;isNoScr=script&amp;mode=search", "토지이음")</f>
        <v/>
      </c>
      <c r="O230" s="3" t="inlineStr">
        <is>
          <t>우리</t>
        </is>
      </c>
      <c r="P230" s="4" t="n">
        <v>1</v>
      </c>
      <c r="Q230" s="4" t="n">
        <v>1091.4</v>
      </c>
      <c r="R230" s="3" t="inlineStr">
        <is>
          <t>지정되지않음</t>
        </is>
      </c>
      <c r="S230" s="3" t="inlineStr">
        <is>
          <t>주차장등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오송읍 봉산리 1283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62700</v>
      </c>
      <c r="G231" s="4" t="n">
        <v>276</v>
      </c>
      <c r="H231" s="4" t="n">
        <v>83</v>
      </c>
      <c r="I231" s="5" t="n">
        <v>755.4</v>
      </c>
      <c r="J231" s="5" t="n">
        <v>206.3</v>
      </c>
      <c r="K231" s="3" t="inlineStr">
        <is>
          <t>오송2산업단지 준주거용지와 접한 상가주택지</t>
        </is>
      </c>
      <c r="L231" s="6">
        <f>HYPERLINK("https://fin.land.naver.com/articles/2645387734", "매물Link")</f>
        <v/>
      </c>
      <c r="M231" s="6">
        <f>HYPERLINK("https://map.naver.com/p/search/오송읍 봉산리 1283", "지도Link")</f>
        <v/>
      </c>
      <c r="N231" s="6">
        <f>HYPERLINK("http://www.eum.go.kr/web/ar/lu/luLandDet.jsp?pnu=4311325031112830000&amp;isNoScr=script&amp;mode=search", "토지이음")</f>
        <v/>
      </c>
      <c r="O231" s="3" t="inlineStr">
        <is>
          <t>오송랜드</t>
        </is>
      </c>
      <c r="P231" s="4" t="n">
        <v>1</v>
      </c>
      <c r="Q231" s="4" t="n">
        <v>276.6</v>
      </c>
      <c r="R231" s="3" t="inlineStr">
        <is>
          <t>지정되지않음</t>
        </is>
      </c>
      <c r="S231" s="3" t="inlineStr">
        <is>
          <t>주거기타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오송읍 봉산리 1293</t>
        </is>
      </c>
      <c r="B232" s="3" t="inlineStr">
        <is>
          <t>준주거지역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169000</v>
      </c>
      <c r="G232" s="4" t="n">
        <v>414</v>
      </c>
      <c r="H232" s="4" t="n">
        <v>125</v>
      </c>
      <c r="I232" s="5" t="n">
        <v>1352</v>
      </c>
      <c r="J232" s="5" t="n">
        <v>624.1</v>
      </c>
      <c r="K232" s="3" t="inlineStr">
        <is>
          <t>오송2산단으로 배후세력 2만여세대의 준주거지역 근생토지,대로변에 위치</t>
        </is>
      </c>
      <c r="L232" s="6">
        <f>HYPERLINK("https://fin.land.naver.com/articles/2648188611", "매물Link")</f>
        <v/>
      </c>
      <c r="M232" s="6">
        <f>HYPERLINK("https://map.naver.com/p/search/오송읍 봉산리 1293", "지도Link")</f>
        <v/>
      </c>
      <c r="N232" s="6">
        <f>HYPERLINK("http://www.eum.go.kr/web/ar/lu/luLandDet.jsp?pnu=4311325031112930000&amp;isNoScr=script&amp;mode=search", "토지이음")</f>
        <v/>
      </c>
      <c r="O232" s="3" t="inlineStr">
        <is>
          <t>(주)미르</t>
        </is>
      </c>
      <c r="P232" s="4" t="n">
        <v>2</v>
      </c>
      <c r="Q232" s="4" t="n">
        <v>413.5</v>
      </c>
      <c r="R232" s="3" t="inlineStr">
        <is>
          <t>지정되지않음</t>
        </is>
      </c>
      <c r="S232" s="3" t="inlineStr">
        <is>
          <t>상업기타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오송읍 봉산리 1296</t>
        </is>
      </c>
      <c r="B233" s="3" t="inlineStr">
        <is>
          <t>준주거지역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162000</v>
      </c>
      <c r="G233" s="4" t="n">
        <v>411</v>
      </c>
      <c r="H233" s="4" t="n">
        <v>124</v>
      </c>
      <c r="I233" s="5" t="n">
        <v>1306.5</v>
      </c>
      <c r="J233" s="5" t="n">
        <v>624.1</v>
      </c>
      <c r="K233" s="3" t="inlineStr">
        <is>
          <t>오송역 인근 근생용지 매매, 평당 약 1300만원</t>
        </is>
      </c>
      <c r="L233" s="6">
        <f>HYPERLINK("https://fin.land.naver.com/articles/2649842662", "매물Link")</f>
        <v/>
      </c>
      <c r="M233" s="6">
        <f>HYPERLINK("https://map.naver.com/p/search/오송읍 봉산리 1296", "지도Link")</f>
        <v/>
      </c>
      <c r="N233" s="6">
        <f>HYPERLINK("http://www.eum.go.kr/web/ar/lu/luLandDet.jsp?pnu=4311325031112960000&amp;isNoScr=script&amp;mode=search", "토지이음")</f>
        <v/>
      </c>
      <c r="O233" s="3" t="inlineStr">
        <is>
          <t>광장</t>
        </is>
      </c>
      <c r="P233" s="4" t="n">
        <v>1</v>
      </c>
      <c r="Q233" s="4" t="n">
        <v>411.7</v>
      </c>
      <c r="R233" s="3" t="inlineStr">
        <is>
          <t>지정되지않음</t>
        </is>
      </c>
      <c r="S233" s="3" t="inlineStr">
        <is>
          <t>상업기타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오송읍 봉산리 1297</t>
        </is>
      </c>
      <c r="B234" s="3" t="inlineStr">
        <is>
          <t>준주거지역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190000</v>
      </c>
      <c r="G234" s="4" t="n">
        <v>421</v>
      </c>
      <c r="H234" s="4" t="n">
        <v>127</v>
      </c>
      <c r="I234" s="5" t="n">
        <v>1496.1</v>
      </c>
      <c r="J234" s="5" t="n">
        <v>624.1</v>
      </c>
      <c r="K234" s="3" t="inlineStr">
        <is>
          <t>코너 근생용지 매매, 평당 약 1500만원</t>
        </is>
      </c>
      <c r="L234" s="6">
        <f>HYPERLINK("https://fin.land.naver.com/articles/2649842980", "매물Link")</f>
        <v/>
      </c>
      <c r="M234" s="6">
        <f>HYPERLINK("https://map.naver.com/p/search/오송읍 봉산리 1297", "지도Link")</f>
        <v/>
      </c>
      <c r="N234" s="6">
        <f>HYPERLINK("http://www.eum.go.kr/web/ar/lu/luLandDet.jsp?pnu=4311325031112970000&amp;isNoScr=script&amp;mode=search", "토지이음")</f>
        <v/>
      </c>
      <c r="O234" s="3" t="inlineStr">
        <is>
          <t>광장</t>
        </is>
      </c>
      <c r="P234" s="4" t="n">
        <v>1</v>
      </c>
      <c r="Q234" s="4" t="n">
        <v>421.4</v>
      </c>
      <c r="R234" s="3" t="inlineStr">
        <is>
          <t>지정되지않음</t>
        </is>
      </c>
      <c r="S234" s="3" t="inlineStr">
        <is>
          <t>상업기타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오송읍 봉산리 1298</t>
        </is>
      </c>
      <c r="B235" s="3" t="inlineStr">
        <is>
          <t>일반상업지역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420000</v>
      </c>
      <c r="G235" s="4" t="n">
        <v>1164</v>
      </c>
      <c r="H235" s="4" t="n">
        <v>352</v>
      </c>
      <c r="I235" s="5" t="n">
        <v>1193.2</v>
      </c>
      <c r="J235" s="5" t="n">
        <v>585.5</v>
      </c>
      <c r="K235" s="3" t="inlineStr">
        <is>
          <t>삼면코너토지 유흥,위락시설 가능 오송2산단 오송역 인근 위치</t>
        </is>
      </c>
      <c r="L235" s="6">
        <f>HYPERLINK("https://fin.land.naver.com/articles/2650673290", "매물Link")</f>
        <v/>
      </c>
      <c r="M235" s="6">
        <f>HYPERLINK("https://map.naver.com/p/search/오송읍 봉산리 1298", "지도Link")</f>
        <v/>
      </c>
      <c r="N235" s="6">
        <f>HYPERLINK("http://www.eum.go.kr/web/ar/lu/luLandDet.jsp?pnu=4311325031112980000&amp;isNoScr=script&amp;mode=search",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1164.1</v>
      </c>
      <c r="R235" s="3" t="inlineStr">
        <is>
          <t>지정되지않음</t>
        </is>
      </c>
      <c r="S235" s="3" t="inlineStr">
        <is>
          <t>상업기타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오송읍 봉산리 1301</t>
        </is>
      </c>
      <c r="B236" s="3" t="inlineStr">
        <is>
          <t>일반상업지역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456000</v>
      </c>
      <c r="G236" s="4" t="n">
        <v>1115</v>
      </c>
      <c r="H236" s="4" t="n">
        <v>337</v>
      </c>
      <c r="I236" s="5" t="n">
        <v>1353.1</v>
      </c>
      <c r="J236" s="5" t="n">
        <v>618.2</v>
      </c>
      <c r="K236" s="3" t="inlineStr">
        <is>
          <t>연제 저수지 앞 상업용지 호텔 개발 추천부지</t>
        </is>
      </c>
      <c r="L236" s="6">
        <f>HYPERLINK("https://fin.land.naver.com/articles/2648717612", "매물Link")</f>
        <v/>
      </c>
      <c r="M236" s="6">
        <f>HYPERLINK("https://map.naver.com/p/search/오송읍 봉산리 1301", "지도Link")</f>
        <v/>
      </c>
      <c r="N236" s="6">
        <f>HYPERLINK("http://www.eum.go.kr/web/ar/lu/luLandDet.jsp?pnu=4311325031113010000&amp;isNoScr=script&amp;mode=search", "토지이음")</f>
        <v/>
      </c>
      <c r="O236" s="3" t="inlineStr">
        <is>
          <t>(주)마이다스역삼센터</t>
        </is>
      </c>
      <c r="P236" s="4" t="n">
        <v>2</v>
      </c>
      <c r="Q236" s="4" t="n">
        <v>1115.2</v>
      </c>
      <c r="R236" s="3" t="inlineStr">
        <is>
          <t>지정되지않음</t>
        </is>
      </c>
      <c r="S236" s="3" t="inlineStr">
        <is>
          <t>상업기타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오송읍 봉산리 1321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460000</v>
      </c>
      <c r="G237" s="4" t="n">
        <v>1541</v>
      </c>
      <c r="H237" s="4" t="n">
        <v>466</v>
      </c>
      <c r="I237" s="5" t="n">
        <v>987.1</v>
      </c>
      <c r="J237" s="5" t="n">
        <v>550.1</v>
      </c>
      <c r="K237" s="3" t="inlineStr">
        <is>
          <t>오송 2산단 상업지구 상업용 토지로 회사 사옥 및 공공기관 사옥 추천</t>
        </is>
      </c>
      <c r="L237" s="6">
        <f>HYPERLINK("https://fin.land.naver.com/articles/2650794191", "매물Link")</f>
        <v/>
      </c>
      <c r="M237" s="6">
        <f>HYPERLINK("https://map.naver.com/p/search/오송읍 봉산리 1321", "지도Link")</f>
        <v/>
      </c>
      <c r="N237" s="6">
        <f>HYPERLINK("http://www.eum.go.kr/web/ar/lu/luLandDet.jsp?pnu=4311325031113210000&amp;isNoScr=script&amp;mode=search", "토지이음")</f>
        <v/>
      </c>
      <c r="O237" s="3" t="inlineStr">
        <is>
          <t>우리</t>
        </is>
      </c>
      <c r="P237" s="4" t="n">
        <v>2</v>
      </c>
      <c r="Q237" s="4" t="n">
        <v>1541.1</v>
      </c>
      <c r="R237" s="3" t="inlineStr">
        <is>
          <t>지정되지않음</t>
        </is>
      </c>
      <c r="S237" s="3" t="inlineStr">
        <is>
          <t>상업기타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중로한면</t>
        </is>
      </c>
    </row>
    <row r="238">
      <c r="A238" s="3" t="inlineStr">
        <is>
          <t>오송읍 봉산리 1322</t>
        </is>
      </c>
      <c r="B238" s="3" t="inlineStr">
        <is>
          <t>일반상업지역</t>
        </is>
      </c>
      <c r="C238" s="3" t="inlineStr">
        <is>
          <t>주차장</t>
        </is>
      </c>
      <c r="D238" s="3" t="inlineStr">
        <is>
          <t>주차장</t>
        </is>
      </c>
      <c r="E238" s="3" t="inlineStr">
        <is>
          <t>월세</t>
        </is>
      </c>
      <c r="F238" s="4" t="n">
        <v>10000</v>
      </c>
      <c r="G238" s="4" t="n">
        <v>2435</v>
      </c>
      <c r="H238" s="4" t="n">
        <v>737</v>
      </c>
      <c r="I238" s="5" t="n">
        <v>2</v>
      </c>
      <c r="J238" s="5" t="n">
        <v>295.4</v>
      </c>
      <c r="K238" s="3" t="inlineStr">
        <is>
          <t>nan</t>
        </is>
      </c>
      <c r="L238" s="6">
        <f>HYPERLINK("https://fin.land.naver.com/articles/2647590994", "매물Link")</f>
        <v/>
      </c>
      <c r="M238" s="6">
        <f>HYPERLINK("https://map.naver.com/p/search/오송읍 봉산리 1322", "지도Link")</f>
        <v/>
      </c>
      <c r="N238" s="6">
        <f>HYPERLINK("http://www.eum.go.kr/web/ar/lu/luLandDet.jsp?pnu=4311325031113220000&amp;isNoScr=script&amp;mode=search", "토지이음")</f>
        <v/>
      </c>
      <c r="O238" s="3" t="inlineStr">
        <is>
          <t>오송메카</t>
        </is>
      </c>
      <c r="P238" s="4" t="n">
        <v>1</v>
      </c>
      <c r="Q238" s="4" t="n">
        <v>2435.1</v>
      </c>
      <c r="R238" s="3" t="inlineStr">
        <is>
          <t>지정되지않음</t>
        </is>
      </c>
      <c r="S238" s="3" t="inlineStr">
        <is>
          <t>주차장등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오송읍 봉산리 1324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460000</v>
      </c>
      <c r="G239" s="4" t="n">
        <v>1524</v>
      </c>
      <c r="H239" s="4" t="n">
        <v>461</v>
      </c>
      <c r="I239" s="5" t="n">
        <v>997.8</v>
      </c>
      <c r="J239" s="5" t="n">
        <v>573.2</v>
      </c>
      <c r="K239" s="3" t="inlineStr">
        <is>
          <t>nan</t>
        </is>
      </c>
      <c r="L239" s="6">
        <f>HYPERLINK("https://fin.land.naver.com/articles/2645321260", "매물Link")</f>
        <v/>
      </c>
      <c r="M239" s="6">
        <f>HYPERLINK("https://map.naver.com/p/search/오송읍 봉산리 1324", "지도Link")</f>
        <v/>
      </c>
      <c r="N239" s="6">
        <f>HYPERLINK("http://www.eum.go.kr/web/ar/lu/luLandDet.jsp?pnu=4311325031113240000&amp;isNoScr=script&amp;mode=search", "토지이음")</f>
        <v/>
      </c>
      <c r="O239" s="3" t="inlineStr">
        <is>
          <t>365</t>
        </is>
      </c>
      <c r="P239" s="4" t="n">
        <v>1</v>
      </c>
      <c r="Q239" s="4" t="n">
        <v>1524.9</v>
      </c>
      <c r="R239" s="3" t="inlineStr">
        <is>
          <t>지정되지않음</t>
        </is>
      </c>
      <c r="S239" s="3" t="inlineStr">
        <is>
          <t>상업기타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오송읍 봉산리 1326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500000</v>
      </c>
      <c r="G240" s="4" t="n">
        <v>889</v>
      </c>
      <c r="H240" s="4" t="n">
        <v>269</v>
      </c>
      <c r="I240" s="5" t="n">
        <v>1858.7</v>
      </c>
      <c r="J240" s="5" t="n">
        <v>719.3</v>
      </c>
      <c r="K240" s="3" t="inlineStr">
        <is>
          <t>오송역 인근 일반상업지역 숙박업가능 토지매매개발호재 풍부진입도로 완비</t>
        </is>
      </c>
      <c r="L240" s="6">
        <f>HYPERLINK("https://fin.land.naver.com/articles/2647637551", "매물Link")</f>
        <v/>
      </c>
      <c r="M240" s="6">
        <f>HYPERLINK("https://map.naver.com/p/search/오송읍 봉산리 1326", "지도Link")</f>
        <v/>
      </c>
      <c r="N240" s="6">
        <f>HYPERLINK("http://www.eum.go.kr/web/ar/lu/luLandDet.jsp?pnu=4311325031113260000&amp;isNoScr=script&amp;mode=search", "토지이음")</f>
        <v/>
      </c>
      <c r="O240" s="3" t="inlineStr">
        <is>
          <t>엠즈앤프라퍼티주식회사</t>
        </is>
      </c>
      <c r="P240" s="4" t="n">
        <v>1</v>
      </c>
      <c r="Q240" s="4" t="n">
        <v>889.6</v>
      </c>
      <c r="R240" s="3" t="inlineStr">
        <is>
          <t>지정되지않음</t>
        </is>
      </c>
      <c r="S240" s="3" t="inlineStr">
        <is>
          <t>상업기타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광대소각</t>
        </is>
      </c>
    </row>
    <row r="241">
      <c r="A241" s="3" t="inlineStr">
        <is>
          <t>오송읍 봉산리 1328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598000</v>
      </c>
      <c r="G241" s="4" t="n">
        <v>859</v>
      </c>
      <c r="H241" s="4" t="n">
        <v>260</v>
      </c>
      <c r="I241" s="5" t="n">
        <v>2300</v>
      </c>
      <c r="J241" s="5" t="n">
        <v>660.2</v>
      </c>
      <c r="K241" s="3" t="inlineStr">
        <is>
          <t>오송역 초역세권 4거리코너 급매</t>
        </is>
      </c>
      <c r="L241" s="6">
        <f>HYPERLINK("https://fin.land.naver.com/articles/2648986889", "매물Link")</f>
        <v/>
      </c>
      <c r="M241" s="6">
        <f>HYPERLINK("https://map.naver.com/p/search/오송읍 봉산리 1328", "지도Link")</f>
        <v/>
      </c>
      <c r="N241" s="6">
        <f>HYPERLINK("http://www.eum.go.kr/web/ar/lu/luLandDet.jsp?pnu=4311325031113280000&amp;isNoScr=script&amp;mode=search", "토지이음")</f>
        <v/>
      </c>
      <c r="O241" s="3" t="inlineStr">
        <is>
          <t>하나</t>
        </is>
      </c>
      <c r="P241" s="4" t="n">
        <v>1</v>
      </c>
      <c r="Q241" s="4" t="n">
        <v>858.6</v>
      </c>
      <c r="R241" s="3" t="inlineStr">
        <is>
          <t>지정되지않음</t>
        </is>
      </c>
      <c r="S241" s="3" t="inlineStr">
        <is>
          <t>상업기타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광대소각</t>
        </is>
      </c>
    </row>
    <row r="242">
      <c r="A242" s="3" t="inlineStr">
        <is>
          <t>오송읍 봉산리 1344</t>
        </is>
      </c>
      <c r="B242" s="3" t="inlineStr">
        <is>
          <t>준주거지역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136400</v>
      </c>
      <c r="G242" s="4" t="n">
        <v>408</v>
      </c>
      <c r="H242" s="4" t="n">
        <v>123</v>
      </c>
      <c r="I242" s="5" t="n">
        <v>1108.9</v>
      </c>
      <c r="J242" s="5" t="n">
        <v>624.1</v>
      </c>
      <c r="K242" s="3" t="inlineStr">
        <is>
          <t>준주거지역 대지, 상가주택사옥 부지 최적</t>
        </is>
      </c>
      <c r="L242" s="6">
        <f>HYPERLINK("https://fin.land.naver.com/articles/2648857608", "매물Link")</f>
        <v/>
      </c>
      <c r="M242" s="6">
        <f>HYPERLINK("https://map.naver.com/p/search/오송읍 봉산리 1344", "지도Link")</f>
        <v/>
      </c>
      <c r="N242" s="6">
        <f>HYPERLINK("http://www.eum.go.kr/web/ar/lu/luLandDet.jsp?pnu=4311325031113440000&amp;isNoScr=script&amp;mode=search", "토지이음")</f>
        <v/>
      </c>
      <c r="O242" s="3" t="inlineStr">
        <is>
          <t>반석원무소</t>
        </is>
      </c>
      <c r="P242" s="4" t="n">
        <v>1</v>
      </c>
      <c r="Q242" s="4" t="n">
        <v>408.9</v>
      </c>
      <c r="R242" s="3" t="inlineStr">
        <is>
          <t>지정되지않음</t>
        </is>
      </c>
      <c r="S242" s="3" t="inlineStr">
        <is>
          <t>상업기타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오송읍 봉산리 1367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41500</v>
      </c>
      <c r="G243" s="4" t="n">
        <v>244</v>
      </c>
      <c r="H243" s="4" t="n">
        <v>74</v>
      </c>
      <c r="I243" s="5" t="n">
        <v>560.8</v>
      </c>
      <c r="J243" s="5" t="n">
        <v>290</v>
      </c>
      <c r="K243" s="3" t="inlineStr">
        <is>
          <t>급매 오송역 인근 일반주거지역 3거리 코너 각지 위치 좋은 대지입니다</t>
        </is>
      </c>
      <c r="L243" s="6">
        <f>HYPERLINK("https://fin.land.naver.com/articles/2650741530", "매물Link")</f>
        <v/>
      </c>
      <c r="M243" s="6">
        <f>HYPERLINK("https://map.naver.com/p/search/오송읍 봉산리 1367", "지도Link")</f>
        <v/>
      </c>
      <c r="N243" s="6">
        <f>HYPERLINK("http://www.eum.go.kr/web/ar/lu/luLandDet.jsp?pnu=4311325031113670000&amp;isNoScr=script&amp;mode=search", "토지이음")</f>
        <v/>
      </c>
      <c r="O243" s="3" t="inlineStr">
        <is>
          <t>스마일세종</t>
        </is>
      </c>
      <c r="P243" s="4" t="n">
        <v>1</v>
      </c>
      <c r="Q243" s="4" t="n">
        <v>244.4</v>
      </c>
      <c r="R243" s="3" t="inlineStr">
        <is>
          <t>지정되지않음</t>
        </is>
      </c>
      <c r="S243" s="3" t="inlineStr">
        <is>
          <t>주상기타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소로각지</t>
        </is>
      </c>
    </row>
    <row r="244">
      <c r="A244" s="3" t="inlineStr">
        <is>
          <t>오송읍 봉산리 1375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30000</v>
      </c>
      <c r="G244" s="4" t="n">
        <v>239</v>
      </c>
      <c r="H244" s="4" t="n">
        <v>72</v>
      </c>
      <c r="I244" s="5" t="n">
        <v>416.7</v>
      </c>
      <c r="J244" s="5" t="n">
        <v>207.9</v>
      </c>
      <c r="K244" s="3" t="inlineStr">
        <is>
          <t>오송역 도보 가능 KTX,SRT이용 점포주택</t>
        </is>
      </c>
      <c r="L244" s="6">
        <f>HYPERLINK("https://fin.land.naver.com/articles/2644902723", "매물Link")</f>
        <v/>
      </c>
      <c r="M244" s="6">
        <f>HYPERLINK("https://map.naver.com/p/search/오송읍 봉산리 1375", "지도Link")</f>
        <v/>
      </c>
      <c r="N244" s="6">
        <f>HYPERLINK("http://www.eum.go.kr/web/ar/lu/luLandDet.jsp?pnu=4311325031113750000&amp;isNoScr=script&amp;mode=search", "토지이음")</f>
        <v/>
      </c>
      <c r="O244" s="3" t="inlineStr">
        <is>
          <t>훈민정음</t>
        </is>
      </c>
      <c r="P244" s="4" t="n">
        <v>1</v>
      </c>
      <c r="Q244" s="4" t="n">
        <v>239.5</v>
      </c>
      <c r="R244" s="3" t="inlineStr">
        <is>
          <t>지정되지않음</t>
        </is>
      </c>
      <c r="S244" s="3" t="inlineStr">
        <is>
          <t>주거기타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오송읍 봉산리 1375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30000</v>
      </c>
      <c r="G245" s="4" t="n">
        <v>239</v>
      </c>
      <c r="H245" s="4" t="n">
        <v>72</v>
      </c>
      <c r="I245" s="5" t="n">
        <v>416.7</v>
      </c>
      <c r="J245" s="5" t="n">
        <v>207.9</v>
      </c>
      <c r="K245" s="3" t="inlineStr">
        <is>
          <t>오송역 인근 초 급매 단독주택용지</t>
        </is>
      </c>
      <c r="L245" s="6">
        <f>HYPERLINK("https://fin.land.naver.com/articles/2649136086", "매물Link")</f>
        <v/>
      </c>
      <c r="M245" s="6">
        <f>HYPERLINK("https://map.naver.com/p/search/오송읍 봉산리 1375", "지도Link")</f>
        <v/>
      </c>
      <c r="N245" s="6">
        <f>HYPERLINK("http://www.eum.go.kr/web/ar/lu/luLandDet.jsp?pnu=4311325031113750000&amp;isNoScr=script&amp;mode=search", "토지이음")</f>
        <v/>
      </c>
      <c r="O245" s="3" t="inlineStr">
        <is>
          <t>청주원</t>
        </is>
      </c>
      <c r="P245" s="4" t="n">
        <v>3</v>
      </c>
      <c r="Q245" s="4" t="n">
        <v>239.5</v>
      </c>
      <c r="R245" s="3" t="inlineStr">
        <is>
          <t>지정되지않음</t>
        </is>
      </c>
      <c r="S245" s="3" t="inlineStr">
        <is>
          <t>주거기타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오송읍 봉산리 1379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32000</v>
      </c>
      <c r="G246" s="4" t="n">
        <v>239</v>
      </c>
      <c r="H246" s="4" t="n">
        <v>72</v>
      </c>
      <c r="I246" s="5" t="n">
        <v>444.4</v>
      </c>
      <c r="J246" s="5" t="n">
        <v>207.9</v>
      </c>
      <c r="K246" s="3" t="inlineStr">
        <is>
          <t>오송역도보 5분거리내, 원투룸인기좋은위치.신축후 건물주가되세요</t>
        </is>
      </c>
      <c r="L246" s="6">
        <f>HYPERLINK("https://fin.land.naver.com/articles/2645955508", "매물Link")</f>
        <v/>
      </c>
      <c r="M246" s="6">
        <f>HYPERLINK("https://map.naver.com/p/search/오송읍 봉산리 1379", "지도Link")</f>
        <v/>
      </c>
      <c r="N246" s="6">
        <f>HYPERLINK("http://www.eum.go.kr/web/ar/lu/luLandDet.jsp?pnu=4311325031113790000&amp;isNoScr=script&amp;mode=search", "토지이음")</f>
        <v/>
      </c>
      <c r="O246" s="3" t="inlineStr">
        <is>
          <t>오송부자마을</t>
        </is>
      </c>
      <c r="P246" s="4" t="n">
        <v>1</v>
      </c>
      <c r="Q246" s="4" t="n">
        <v>239.4</v>
      </c>
      <c r="R246" s="3" t="inlineStr">
        <is>
          <t>지정되지않음</t>
        </is>
      </c>
      <c r="S246" s="3" t="inlineStr">
        <is>
          <t>주거기타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오송읍 봉산리 1415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42000</v>
      </c>
      <c r="G247" s="4" t="n">
        <v>244</v>
      </c>
      <c r="H247" s="4" t="n">
        <v>74</v>
      </c>
      <c r="I247" s="5" t="n">
        <v>567.6</v>
      </c>
      <c r="J247" s="5" t="n">
        <v>207.9</v>
      </c>
      <c r="K247" s="3" t="inlineStr">
        <is>
          <t>오송2산단 상가 주택부지 입니다 남향</t>
        </is>
      </c>
      <c r="L247" s="6">
        <f>HYPERLINK("https://fin.land.naver.com/articles/2648085242", "매물Link")</f>
        <v/>
      </c>
      <c r="M247" s="6">
        <f>HYPERLINK("https://map.naver.com/p/search/오송읍 봉산리 1415", "지도Link")</f>
        <v/>
      </c>
      <c r="N247" s="6">
        <f>HYPERLINK("http://www.eum.go.kr/web/ar/lu/luLandDet.jsp?pnu=4311325031114150000&amp;isNoScr=script&amp;mode=search", "토지이음")</f>
        <v/>
      </c>
      <c r="O247" s="3" t="inlineStr">
        <is>
          <t>365</t>
        </is>
      </c>
      <c r="P247" s="4" t="n">
        <v>1</v>
      </c>
      <c r="Q247" s="4" t="n">
        <v>244</v>
      </c>
      <c r="R247" s="3" t="inlineStr">
        <is>
          <t>지정되지않음</t>
        </is>
      </c>
      <c r="S247" s="3" t="inlineStr">
        <is>
          <t>주거기타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오송읍 봉산리 1417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39000</v>
      </c>
      <c r="G248" s="4" t="n">
        <v>244</v>
      </c>
      <c r="H248" s="4" t="n">
        <v>74</v>
      </c>
      <c r="I248" s="5" t="n">
        <v>527</v>
      </c>
      <c r="J248" s="5" t="n">
        <v>207.9</v>
      </c>
      <c r="K248" s="3" t="inlineStr">
        <is>
          <t>오송역도보 10여분거리, 오송역대광1차아파트와 근거리, 남향</t>
        </is>
      </c>
      <c r="L248" s="6">
        <f>HYPERLINK("https://fin.land.naver.com/articles/2648561393", "매물Link")</f>
        <v/>
      </c>
      <c r="M248" s="6">
        <f>HYPERLINK("https://map.naver.com/p/search/오송읍 봉산리 1417", "지도Link")</f>
        <v/>
      </c>
      <c r="N248" s="6">
        <f>HYPERLINK("http://www.eum.go.kr/web/ar/lu/luLandDet.jsp?pnu=4311325031114170000&amp;isNoScr=script&amp;mode=search", "토지이음")</f>
        <v/>
      </c>
      <c r="O248" s="3" t="inlineStr">
        <is>
          <t>서한단지내114</t>
        </is>
      </c>
      <c r="P248" s="4" t="n">
        <v>2</v>
      </c>
      <c r="Q248" s="4" t="n">
        <v>244</v>
      </c>
      <c r="R248" s="3" t="inlineStr">
        <is>
          <t>지정되지않음</t>
        </is>
      </c>
      <c r="S248" s="3" t="inlineStr">
        <is>
          <t>주거기타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오송읍 봉산리 1419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45000</v>
      </c>
      <c r="G249" s="4" t="n">
        <v>238</v>
      </c>
      <c r="H249" s="4" t="n">
        <v>72</v>
      </c>
      <c r="I249" s="5" t="n">
        <v>625</v>
      </c>
      <c r="J249" s="5" t="n">
        <v>250.2</v>
      </c>
      <c r="K249" s="3" t="inlineStr">
        <is>
          <t>오송2산단 다가구 건축 용도 삼면 각지 토지</t>
        </is>
      </c>
      <c r="L249" s="6">
        <f>HYPERLINK("https://fin.land.naver.com/articles/2645321056", "매물Link")</f>
        <v/>
      </c>
      <c r="M249" s="6">
        <f>HYPERLINK("https://map.naver.com/p/search/오송읍 봉산리 1419", "지도Link")</f>
        <v/>
      </c>
      <c r="N249" s="6">
        <f>HYPERLINK("http://www.eum.go.kr/web/ar/lu/luLandDet.jsp?pnu=4311325031114190000&amp;isNoScr=script&amp;mode=search", "토지이음")</f>
        <v/>
      </c>
      <c r="O249" s="3" t="inlineStr">
        <is>
          <t>365</t>
        </is>
      </c>
      <c r="P249" s="4" t="n">
        <v>1</v>
      </c>
      <c r="Q249" s="4" t="n">
        <v>238.1</v>
      </c>
      <c r="R249" s="3" t="inlineStr">
        <is>
          <t>지정되지않음</t>
        </is>
      </c>
      <c r="S249" s="3" t="inlineStr">
        <is>
          <t>주상기타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소로각지</t>
        </is>
      </c>
    </row>
    <row r="250">
      <c r="A250" s="3" t="inlineStr">
        <is>
          <t>오송읍 봉산리 796</t>
        </is>
      </c>
      <c r="B250" s="3" t="inlineStr">
        <is>
          <t>제1종일반주거지역</t>
        </is>
      </c>
      <c r="C250" s="3" t="inlineStr">
        <is>
          <t>주차장</t>
        </is>
      </c>
      <c r="D250" s="3" t="inlineStr">
        <is>
          <t>주차장</t>
        </is>
      </c>
      <c r="E250" s="3" t="inlineStr">
        <is>
          <t>매매</t>
        </is>
      </c>
      <c r="F250" s="4" t="n">
        <v>150000</v>
      </c>
      <c r="G250" s="4" t="n">
        <v>1039</v>
      </c>
      <c r="H250" s="4" t="n">
        <v>314</v>
      </c>
      <c r="I250" s="5" t="n">
        <v>477.7</v>
      </c>
      <c r="J250" s="5" t="n">
        <v>207.4</v>
      </c>
      <c r="K250" s="3" t="inlineStr">
        <is>
          <t>아파트 학교옆 인프라좋고 편의시설주변 주차장용지로 모든업종가능</t>
        </is>
      </c>
      <c r="L250" s="6">
        <f>HYPERLINK("https://fin.land.naver.com/articles/2647244026", "매물Link")</f>
        <v/>
      </c>
      <c r="M250" s="6">
        <f>HYPERLINK("https://map.naver.com/p/search/오송읍 봉산리 796", "지도Link")</f>
        <v/>
      </c>
      <c r="N250" s="6">
        <f>HYPERLINK("http://www.eum.go.kr/web/ar/lu/luLandDet.jsp?pnu=4311325031107960000&amp;isNoScr=script&amp;mode=search", "토지이음")</f>
        <v/>
      </c>
      <c r="O250" s="3" t="inlineStr">
        <is>
          <t>하림</t>
        </is>
      </c>
      <c r="P250" s="4" t="n">
        <v>1</v>
      </c>
      <c r="Q250" s="4" t="n">
        <v>1039.2</v>
      </c>
      <c r="R250" s="3" t="inlineStr">
        <is>
          <t>지정되지않음</t>
        </is>
      </c>
      <c r="S250" s="3" t="inlineStr">
        <is>
          <t>주차장등</t>
        </is>
      </c>
      <c r="T250" s="3" t="inlineStr">
        <is>
          <t>평지</t>
        </is>
      </c>
      <c r="U250" s="3" t="inlineStr">
        <is>
          <t>부정형</t>
        </is>
      </c>
      <c r="V250" s="3" t="inlineStr">
        <is>
          <t>중로각지</t>
        </is>
      </c>
    </row>
    <row r="251">
      <c r="A251" s="3" t="inlineStr">
        <is>
          <t>오송읍 봉산리 841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38000</v>
      </c>
      <c r="G251" s="4" t="n">
        <v>249</v>
      </c>
      <c r="H251" s="4" t="n">
        <v>75</v>
      </c>
      <c r="I251" s="5" t="n">
        <v>506.7</v>
      </c>
      <c r="J251" s="5" t="n">
        <v>342.8</v>
      </c>
      <c r="K251" s="3" t="inlineStr">
        <is>
          <t>대도로변 토지,상가 입점하기 좋은 위치</t>
        </is>
      </c>
      <c r="L251" s="6">
        <f>HYPERLINK("https://fin.land.naver.com/articles/2645985092", "매물Link")</f>
        <v/>
      </c>
      <c r="M251" s="6">
        <f>HYPERLINK("https://map.naver.com/p/search/오송읍 봉산리 841", "지도Link")</f>
        <v/>
      </c>
      <c r="N251" s="6">
        <f>HYPERLINK("http://www.eum.go.kr/web/ar/lu/luLandDet.jsp?pnu=4311325031108410000&amp;isNoScr=script&amp;mode=search", "토지이음")</f>
        <v/>
      </c>
      <c r="O251" s="3" t="inlineStr">
        <is>
          <t>오송2단지창조</t>
        </is>
      </c>
      <c r="P251" s="4" t="n">
        <v>1</v>
      </c>
      <c r="Q251" s="4" t="n">
        <v>249.4</v>
      </c>
      <c r="R251" s="3" t="inlineStr">
        <is>
          <t>지정되지않음</t>
        </is>
      </c>
      <c r="S251" s="3" t="inlineStr">
        <is>
          <t>주상기타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중로각지</t>
        </is>
      </c>
    </row>
    <row r="252">
      <c r="A252" s="3" t="inlineStr">
        <is>
          <t>오송읍 봉산리 853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45000</v>
      </c>
      <c r="G252" s="4" t="n">
        <v>276</v>
      </c>
      <c r="H252" s="4" t="n">
        <v>83</v>
      </c>
      <c r="I252" s="5" t="n">
        <v>542.2</v>
      </c>
      <c r="J252" s="5" t="n">
        <v>205.7</v>
      </c>
      <c r="K252" s="3" t="inlineStr">
        <is>
          <t>nan</t>
        </is>
      </c>
      <c r="L252" s="6">
        <f>HYPERLINK("https://fin.land.naver.com/articles/2645321083", "매물Link")</f>
        <v/>
      </c>
      <c r="M252" s="6">
        <f>HYPERLINK("https://map.naver.com/p/search/오송읍 봉산리 853", "지도Link")</f>
        <v/>
      </c>
      <c r="N252" s="6">
        <f>HYPERLINK("http://www.eum.go.kr/web/ar/lu/luLandDet.jsp?pnu=4311325031108530000&amp;isNoScr=script&amp;mode=search", "토지이음")</f>
        <v/>
      </c>
      <c r="O252" s="3" t="inlineStr">
        <is>
          <t>365</t>
        </is>
      </c>
      <c r="P252" s="4" t="n">
        <v>1</v>
      </c>
      <c r="Q252" s="4" t="n">
        <v>276.1</v>
      </c>
      <c r="R252" s="3" t="inlineStr">
        <is>
          <t>지정되지않음</t>
        </is>
      </c>
      <c r="S252" s="3" t="inlineStr">
        <is>
          <t>주거기타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오송읍 봉산리 853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45000</v>
      </c>
      <c r="G253" s="4" t="n">
        <v>276</v>
      </c>
      <c r="H253" s="4" t="n">
        <v>83</v>
      </c>
      <c r="I253" s="5" t="n">
        <v>542.2</v>
      </c>
      <c r="J253" s="5" t="n">
        <v>205.7</v>
      </c>
      <c r="K253" s="3" t="inlineStr">
        <is>
          <t>솔미초 인근 다가구용 토지 매매</t>
        </is>
      </c>
      <c r="L253" s="6">
        <f>HYPERLINK("https://fin.land.naver.com/articles/2650364095", "매물Link")</f>
        <v/>
      </c>
      <c r="M253" s="6">
        <f>HYPERLINK("https://map.naver.com/p/search/오송읍 봉산리 853", "지도Link")</f>
        <v/>
      </c>
      <c r="N253" s="6">
        <f>HYPERLINK("http://www.eum.go.kr/web/ar/lu/luLandDet.jsp?pnu=4311325031108530000&amp;isNoScr=script&amp;mode=search", "토지이음")</f>
        <v/>
      </c>
      <c r="O253" s="3" t="inlineStr">
        <is>
          <t>광장</t>
        </is>
      </c>
      <c r="P253" s="4" t="n">
        <v>1</v>
      </c>
      <c r="Q253" s="4" t="n">
        <v>276.1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오송읍 봉산리 872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271</v>
      </c>
      <c r="H254" s="4" t="n">
        <v>82</v>
      </c>
      <c r="I254" s="5" t="n">
        <v>597.6</v>
      </c>
      <c r="J254" s="5" t="n">
        <v>236</v>
      </c>
      <c r="K254" s="3" t="inlineStr">
        <is>
          <t>다가구주택용 대지, 임대세대 구성하기 좋은 면적</t>
        </is>
      </c>
      <c r="L254" s="6">
        <f>HYPERLINK("https://fin.land.naver.com/articles/2645396621", "매물Link")</f>
        <v/>
      </c>
      <c r="M254" s="6">
        <f>HYPERLINK("https://map.naver.com/p/search/오송읍 봉산리 872", "지도Link")</f>
        <v/>
      </c>
      <c r="N254" s="6">
        <f>HYPERLINK("http://www.eum.go.kr/web/ar/lu/luLandDet.jsp?pnu=4311325031108720000&amp;isNoScr=script&amp;mode=search", "토지이음")</f>
        <v/>
      </c>
      <c r="O254" s="3" t="inlineStr">
        <is>
          <t>광장</t>
        </is>
      </c>
      <c r="P254" s="4" t="n">
        <v>1</v>
      </c>
      <c r="Q254" s="4" t="n">
        <v>271.2</v>
      </c>
      <c r="R254" s="3" t="inlineStr">
        <is>
          <t>지정되지않음</t>
        </is>
      </c>
      <c r="S254" s="3" t="inlineStr">
        <is>
          <t>주상기타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오송읍 봉산리 888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252</v>
      </c>
      <c r="H255" s="4" t="n">
        <v>76</v>
      </c>
      <c r="I255" s="5" t="n">
        <v>789.5</v>
      </c>
      <c r="J255" s="5" t="n">
        <v>291</v>
      </c>
      <c r="K255" s="3" t="inlineStr">
        <is>
          <t>오송 철도국가산단 수혜 핵심 입지</t>
        </is>
      </c>
      <c r="L255" s="6">
        <f>HYPERLINK("https://fin.land.naver.com/articles/2648559186", "매물Link")</f>
        <v/>
      </c>
      <c r="M255" s="6">
        <f>HYPERLINK("https://map.naver.com/p/search/오송읍 봉산리 888", "지도Link")</f>
        <v/>
      </c>
      <c r="N255" s="6">
        <f>HYPERLINK("http://www.eum.go.kr/web/ar/lu/luLandDet.jsp?pnu=4311325031108880000&amp;isNoScr=script&amp;mode=search", "토지이음")</f>
        <v/>
      </c>
      <c r="O255" s="3" t="inlineStr">
        <is>
          <t>복덩이</t>
        </is>
      </c>
      <c r="P255" s="4" t="n">
        <v>1</v>
      </c>
      <c r="Q255" s="4" t="n">
        <v>252.1</v>
      </c>
      <c r="R255" s="3" t="inlineStr">
        <is>
          <t>지정되지않음</t>
        </is>
      </c>
      <c r="S255" s="3" t="inlineStr">
        <is>
          <t>주상기타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오송읍 봉산리 954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265</v>
      </c>
      <c r="H256" s="4" t="n">
        <v>80</v>
      </c>
      <c r="I256" s="5" t="n">
        <v>750</v>
      </c>
      <c r="J256" s="5" t="n">
        <v>257.5</v>
      </c>
      <c r="K256" s="3" t="inlineStr">
        <is>
          <t>위치좋은 코너땅 입니다</t>
        </is>
      </c>
      <c r="L256" s="6">
        <f>HYPERLINK("https://fin.land.naver.com/articles/2645987267", "매물Link")</f>
        <v/>
      </c>
      <c r="M256" s="6">
        <f>HYPERLINK("https://map.naver.com/p/search/오송읍 봉산리 954", "지도Link")</f>
        <v/>
      </c>
      <c r="N256" s="6">
        <f>HYPERLINK("http://www.eum.go.kr/web/ar/lu/luLandDet.jsp?pnu=4311325031109540000&amp;isNoScr=script&amp;mode=search", "토지이음")</f>
        <v/>
      </c>
      <c r="O256" s="3" t="inlineStr">
        <is>
          <t>오송2단지창조</t>
        </is>
      </c>
      <c r="P256" s="4" t="n">
        <v>1</v>
      </c>
      <c r="Q256" s="4" t="n">
        <v>265.3</v>
      </c>
      <c r="R256" s="3" t="inlineStr">
        <is>
          <t>지정되지않음</t>
        </is>
      </c>
      <c r="S256" s="3" t="inlineStr">
        <is>
          <t>주상기타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오송읍 봉산리 978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353000</v>
      </c>
      <c r="G257" s="4" t="n">
        <v>1295</v>
      </c>
      <c r="H257" s="4" t="n">
        <v>392</v>
      </c>
      <c r="I257" s="5" t="n">
        <v>900.5</v>
      </c>
      <c r="J257" s="5" t="n">
        <v>585.5</v>
      </c>
      <c r="K257" s="3" t="inlineStr">
        <is>
          <t>오송읍 봉산리 상업용지 매매</t>
        </is>
      </c>
      <c r="L257" s="6">
        <f>HYPERLINK("https://fin.land.naver.com/articles/2650259873", "매물Link")</f>
        <v/>
      </c>
      <c r="M257" s="6">
        <f>HYPERLINK("https://map.naver.com/p/search/오송읍 봉산리 978", "지도Link")</f>
        <v/>
      </c>
      <c r="N257" s="6">
        <f>HYPERLINK("http://www.eum.go.kr/web/ar/lu/luLandDet.jsp?pnu=4311325031109780000&amp;isNoScr=script&amp;mode=search", "토지이음")</f>
        <v/>
      </c>
      <c r="O257" s="3" t="inlineStr">
        <is>
          <t>일등</t>
        </is>
      </c>
      <c r="P257" s="4" t="n">
        <v>1</v>
      </c>
      <c r="Q257" s="4" t="n">
        <v>1295.6</v>
      </c>
      <c r="R257" s="3" t="inlineStr">
        <is>
          <t>지정되지않음</t>
        </is>
      </c>
      <c r="S257" s="3" t="inlineStr">
        <is>
          <t>상업기타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오송읍 봉산리 986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347900</v>
      </c>
      <c r="G258" s="4" t="n">
        <v>821</v>
      </c>
      <c r="H258" s="4" t="n">
        <v>248</v>
      </c>
      <c r="I258" s="5" t="n">
        <v>1402.8</v>
      </c>
      <c r="J258" s="5" t="n">
        <v>585.5</v>
      </c>
      <c r="K258" s="3" t="inlineStr">
        <is>
          <t>상권 형성 초입, 선점 가능한 상업용지 개발수혜가 기대되는 땅</t>
        </is>
      </c>
      <c r="L258" s="6">
        <f>HYPERLINK("https://fin.land.naver.com/articles/2646874573", "매물Link")</f>
        <v/>
      </c>
      <c r="M258" s="6">
        <f>HYPERLINK("https://map.naver.com/p/search/오송읍 봉산리 986", "지도Link")</f>
        <v/>
      </c>
      <c r="N258" s="6">
        <f>HYPERLINK("http://www.eum.go.kr/web/ar/lu/luLandDet.jsp?pnu=4311325031109860000&amp;isNoScr=script&amp;mode=search", "토지이음")</f>
        <v/>
      </c>
      <c r="O258" s="3" t="inlineStr">
        <is>
          <t>우영</t>
        </is>
      </c>
      <c r="P258" s="4" t="n">
        <v>1</v>
      </c>
      <c r="Q258" s="4" t="n">
        <v>821.6</v>
      </c>
      <c r="R258" s="3" t="inlineStr">
        <is>
          <t>지정되지않음</t>
        </is>
      </c>
      <c r="S258" s="3" t="inlineStr">
        <is>
          <t>상업기타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중로각지</t>
        </is>
      </c>
    </row>
    <row r="259">
      <c r="A259" s="3" t="inlineStr">
        <is>
          <t>오송읍 상봉리 114-3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25000</v>
      </c>
      <c r="G259" s="4" t="n">
        <v>602</v>
      </c>
      <c r="H259" s="4" t="n">
        <v>182</v>
      </c>
      <c r="I259" s="5" t="n">
        <v>137.4</v>
      </c>
      <c r="J259" s="5" t="n">
        <v>48.7</v>
      </c>
      <c r="K259" s="3" t="inlineStr">
        <is>
          <t>오송읍 전원주택지 매매</t>
        </is>
      </c>
      <c r="L259" s="6">
        <f>HYPERLINK("https://fin.land.naver.com/articles/2648188603", "매물Link")</f>
        <v/>
      </c>
      <c r="M259" s="6">
        <f>HYPERLINK("https://map.naver.com/p/search/오송읍 상봉리 114-3", "지도Link")</f>
        <v/>
      </c>
      <c r="N259" s="6">
        <f>HYPERLINK("http://www.eum.go.kr/web/ar/lu/luLandDet.jsp?pnu=4311325033101140003&amp;isNoScr=script&amp;mode=search", "토지이음")</f>
        <v/>
      </c>
      <c r="O259" s="3" t="inlineStr">
        <is>
          <t>학사</t>
        </is>
      </c>
      <c r="P259" s="4" t="n">
        <v>1</v>
      </c>
      <c r="Q259" s="4" t="n">
        <v>602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세로한면(가)</t>
        </is>
      </c>
    </row>
    <row r="260">
      <c r="A260" s="3" t="inlineStr">
        <is>
          <t>오송읍 상봉리 210</t>
        </is>
      </c>
      <c r="B260" s="3" t="inlineStr">
        <is>
          <t>계획관리지역</t>
        </is>
      </c>
      <c r="C260" s="3" t="inlineStr">
        <is>
          <t>전</t>
        </is>
      </c>
      <c r="D260" s="3" t="inlineStr">
        <is>
          <t>전</t>
        </is>
      </c>
      <c r="E260" s="3" t="inlineStr">
        <is>
          <t>매매</t>
        </is>
      </c>
      <c r="F260" s="4" t="n">
        <v>100000</v>
      </c>
      <c r="G260" s="4" t="n">
        <v>3298</v>
      </c>
      <c r="H260" s="4" t="n">
        <v>998</v>
      </c>
      <c r="I260" s="5" t="n">
        <v>100.2</v>
      </c>
      <c r="J260" s="5" t="n">
        <v>34.7</v>
      </c>
      <c r="K260" s="3" t="inlineStr">
        <is>
          <t>계획관리토지 역세권중장기 투자계획으로우수한 토지 공장 카페 창고 실버타운</t>
        </is>
      </c>
      <c r="L260" s="6">
        <f>HYPERLINK("https://fin.land.naver.com/articles/2649374986", "매물Link")</f>
        <v/>
      </c>
      <c r="M260" s="6">
        <f>HYPERLINK("https://map.naver.com/p/search/오송읍 상봉리 210", "지도Link")</f>
        <v/>
      </c>
      <c r="N260" s="6">
        <f>HYPERLINK("http://www.eum.go.kr/web/ar/lu/luLandDet.jsp?pnu=4311325033102100000&amp;isNoScr=script&amp;mode=search", "토지이음")</f>
        <v/>
      </c>
      <c r="O260" s="3" t="inlineStr">
        <is>
          <t>하림</t>
        </is>
      </c>
      <c r="P260" s="4" t="n">
        <v>1</v>
      </c>
      <c r="Q260" s="4" t="n">
        <v>3298</v>
      </c>
      <c r="R260" s="3" t="inlineStr">
        <is>
          <t>지정되지않음</t>
        </is>
      </c>
      <c r="S260" s="3" t="inlineStr">
        <is>
          <t>전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세로각지(가)</t>
        </is>
      </c>
    </row>
    <row r="261">
      <c r="A261" s="3" t="inlineStr">
        <is>
          <t>오송읍 상봉리 240-4</t>
        </is>
      </c>
      <c r="B261" s="3" t="inlineStr">
        <is>
          <t>계획관리지역</t>
        </is>
      </c>
      <c r="C261" s="3" t="inlineStr">
        <is>
          <t>전</t>
        </is>
      </c>
      <c r="D261" s="3" t="inlineStr">
        <is>
          <t>전</t>
        </is>
      </c>
      <c r="E261" s="3" t="inlineStr">
        <is>
          <t>매매</t>
        </is>
      </c>
      <c r="F261" s="4" t="n">
        <v>200000</v>
      </c>
      <c r="G261" s="4" t="n">
        <v>1896</v>
      </c>
      <c r="H261" s="4" t="n">
        <v>574</v>
      </c>
      <c r="I261" s="5" t="n">
        <v>348.4</v>
      </c>
      <c r="J261" s="5" t="n">
        <v>45</v>
      </c>
      <c r="K261" s="3" t="inlineStr">
        <is>
          <t>2차선도로 및 3면이 포장도로에 접한 직사각형 모양의 계획관리지역의 전</t>
        </is>
      </c>
      <c r="L261" s="6">
        <f>HYPERLINK("https://fin.land.naver.com/articles/2646618646", "매물Link")</f>
        <v/>
      </c>
      <c r="M261" s="6">
        <f>HYPERLINK("https://map.naver.com/p/search/오송읍 상봉리 240-4", "지도Link")</f>
        <v/>
      </c>
      <c r="N261" s="6">
        <f>HYPERLINK("http://www.eum.go.kr/web/ar/lu/luLandDet.jsp?pnu=4311325033102400004&amp;isNoScr=script&amp;mode=search", "토지이음")</f>
        <v/>
      </c>
      <c r="O261" s="3" t="inlineStr">
        <is>
          <t>스마일세종</t>
        </is>
      </c>
      <c r="P261" s="4" t="n">
        <v>1</v>
      </c>
      <c r="Q261" s="4" t="n">
        <v>1896</v>
      </c>
      <c r="R261" s="3" t="inlineStr">
        <is>
          <t>지정되지않음</t>
        </is>
      </c>
      <c r="S261" s="3" t="inlineStr">
        <is>
          <t>전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오송읍 상봉리 313</t>
        </is>
      </c>
      <c r="B262" s="3" t="inlineStr">
        <is>
          <t>보전관리지역</t>
        </is>
      </c>
      <c r="C262" s="3" t="inlineStr">
        <is>
          <t>답</t>
        </is>
      </c>
      <c r="D262" s="3" t="inlineStr">
        <is>
          <t>답</t>
        </is>
      </c>
      <c r="E262" s="3" t="inlineStr">
        <is>
          <t>매매</t>
        </is>
      </c>
      <c r="F262" s="4" t="n">
        <v>40000</v>
      </c>
      <c r="G262" s="4" t="n">
        <v>2615</v>
      </c>
      <c r="H262" s="4" t="n">
        <v>791</v>
      </c>
      <c r="I262" s="5" t="n">
        <v>50.6</v>
      </c>
      <c r="J262" s="5" t="n">
        <v>10</v>
      </c>
      <c r="K262" s="3" t="inlineStr">
        <is>
          <t>세종시 경계부근에 위치 전원주택 주말농지 추천</t>
        </is>
      </c>
      <c r="L262" s="6">
        <f>HYPERLINK("https://fin.land.naver.com/articles/2645781584", "매물Link")</f>
        <v/>
      </c>
      <c r="M262" s="6">
        <f>HYPERLINK("https://map.naver.com/p/search/오송읍 상봉리 313", "지도Link")</f>
        <v/>
      </c>
      <c r="N262" s="6">
        <f>HYPERLINK("http://www.eum.go.kr/web/ar/lu/luLandDet.jsp?pnu=4311325033103130000&amp;isNoScr=script&amp;mode=search", "토지이음")</f>
        <v/>
      </c>
      <c r="O262" s="3" t="inlineStr">
        <is>
          <t>복수지구</t>
        </is>
      </c>
      <c r="P262" s="4" t="n">
        <v>1</v>
      </c>
      <c r="Q262" s="4" t="n">
        <v>2615</v>
      </c>
      <c r="R262" s="3" t="inlineStr">
        <is>
          <t>지정되지않음</t>
        </is>
      </c>
      <c r="S262" s="3" t="inlineStr">
        <is>
          <t>답</t>
        </is>
      </c>
      <c r="T262" s="3" t="inlineStr">
        <is>
          <t>완경사</t>
        </is>
      </c>
      <c r="U262" s="3" t="inlineStr">
        <is>
          <t>부정형</t>
        </is>
      </c>
      <c r="V262" s="3" t="inlineStr">
        <is>
          <t>세로한면(가)</t>
        </is>
      </c>
    </row>
    <row r="263">
      <c r="A263" s="3" t="inlineStr">
        <is>
          <t>오송읍 상봉리 359-3</t>
        </is>
      </c>
      <c r="B263" s="3" t="inlineStr">
        <is>
          <t>농림지역</t>
        </is>
      </c>
      <c r="C263" s="3" t="inlineStr">
        <is>
          <t>답</t>
        </is>
      </c>
      <c r="D263" s="3" t="inlineStr">
        <is>
          <t>답</t>
        </is>
      </c>
      <c r="E263" s="3" t="inlineStr">
        <is>
          <t>매매</t>
        </is>
      </c>
      <c r="F263" s="4" t="n">
        <v>25000</v>
      </c>
      <c r="G263" s="4" t="n">
        <v>2008</v>
      </c>
      <c r="H263" s="4" t="n">
        <v>607</v>
      </c>
      <c r="I263" s="5" t="n">
        <v>41.2</v>
      </c>
      <c r="J263" s="5" t="n">
        <v>21.5</v>
      </c>
      <c r="K263" s="3" t="inlineStr">
        <is>
          <t>밴처밸리,오송2산단 차량3분 대토 과수원 농가주택 창고등 추천</t>
        </is>
      </c>
      <c r="L263" s="6">
        <f>HYPERLINK("https://fin.land.naver.com/articles/2649259041", "매물Link")</f>
        <v/>
      </c>
      <c r="M263" s="6">
        <f>HYPERLINK("https://map.naver.com/p/search/오송읍 상봉리 359-3", "지도Link")</f>
        <v/>
      </c>
      <c r="N263" s="6">
        <f>HYPERLINK("http://www.eum.go.kr/web/ar/lu/luLandDet.jsp?pnu=4311325033103590003&amp;isNoScr=script&amp;mode=search", "토지이음")</f>
        <v/>
      </c>
      <c r="O263" s="3" t="inlineStr">
        <is>
          <t>신안무소</t>
        </is>
      </c>
      <c r="P263" s="4" t="n">
        <v>1</v>
      </c>
      <c r="Q263" s="4" t="n">
        <v>2008</v>
      </c>
      <c r="R263" s="3" t="inlineStr">
        <is>
          <t>지정되지않음</t>
        </is>
      </c>
      <c r="S263" s="3" t="inlineStr">
        <is>
          <t>답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세로각지(가)</t>
        </is>
      </c>
    </row>
    <row r="264">
      <c r="A264" s="3" t="inlineStr">
        <is>
          <t>오송읍 상봉리 415-1</t>
        </is>
      </c>
      <c r="B264" s="3" t="inlineStr">
        <is>
          <t>농림지역</t>
        </is>
      </c>
      <c r="C264" s="3" t="inlineStr">
        <is>
          <t>답</t>
        </is>
      </c>
      <c r="D264" s="3" t="inlineStr">
        <is>
          <t>답</t>
        </is>
      </c>
      <c r="E264" s="3" t="inlineStr">
        <is>
          <t>매매</t>
        </is>
      </c>
      <c r="F264" s="4" t="n">
        <v>26000</v>
      </c>
      <c r="G264" s="4" t="n">
        <v>1230</v>
      </c>
      <c r="H264" s="4" t="n">
        <v>372</v>
      </c>
      <c r="I264" s="5" t="n">
        <v>69.90000000000001</v>
      </c>
      <c r="J264" s="5" t="n">
        <v>22</v>
      </c>
      <c r="K264" s="3" t="inlineStr">
        <is>
          <t>농림지역, 도로접함, 영농 및 농가주택 가능</t>
        </is>
      </c>
      <c r="L264" s="6">
        <f>HYPERLINK("https://fin.land.naver.com/articles/2650488027", "매물Link")</f>
        <v/>
      </c>
      <c r="M264" s="6">
        <f>HYPERLINK("https://map.naver.com/p/search/오송읍 상봉리 415-1", "지도Link")</f>
        <v/>
      </c>
      <c r="N264" s="6">
        <f>HYPERLINK("http://www.eum.go.kr/web/ar/lu/luLandDet.jsp?pnu=4311325033104150001&amp;isNoScr=script&amp;mode=search", "토지이음")</f>
        <v/>
      </c>
      <c r="O264" s="3" t="inlineStr">
        <is>
          <t>세종나라</t>
        </is>
      </c>
      <c r="P264" s="4" t="n">
        <v>8</v>
      </c>
      <c r="Q264" s="4" t="n">
        <v>1230</v>
      </c>
      <c r="R264" s="3" t="inlineStr">
        <is>
          <t>지정되지않음</t>
        </is>
      </c>
      <c r="S264" s="3" t="inlineStr">
        <is>
          <t>답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세로한면(가)</t>
        </is>
      </c>
    </row>
    <row r="265">
      <c r="A265" s="3" t="inlineStr">
        <is>
          <t>오송읍 상봉리 98-15</t>
        </is>
      </c>
      <c r="B265" s="3" t="inlineStr">
        <is>
          <t>생산관리지역</t>
        </is>
      </c>
      <c r="C265" s="3" t="inlineStr">
        <is>
          <t>답</t>
        </is>
      </c>
      <c r="D265" s="3" t="inlineStr">
        <is>
          <t>답</t>
        </is>
      </c>
      <c r="E265" s="3" t="inlineStr">
        <is>
          <t>매매</t>
        </is>
      </c>
      <c r="F265" s="4" t="n">
        <v>35500</v>
      </c>
      <c r="G265" s="4" t="n">
        <v>1468</v>
      </c>
      <c r="H265" s="4" t="n">
        <v>444</v>
      </c>
      <c r="I265" s="5" t="n">
        <v>80</v>
      </c>
      <c r="J265" s="5" t="n">
        <v>26.4</v>
      </c>
      <c r="K265" s="3" t="inlineStr">
        <is>
          <t>신축, 경작, 투자하기 좋은 토지</t>
        </is>
      </c>
      <c r="L265" s="6">
        <f>HYPERLINK("https://fin.land.naver.com/articles/2650650172", "매물Link")</f>
        <v/>
      </c>
      <c r="M265" s="6">
        <f>HYPERLINK("https://map.naver.com/p/search/오송읍 상봉리 98-15", "지도Link")</f>
        <v/>
      </c>
      <c r="N265" s="6">
        <f>HYPERLINK("http://www.eum.go.kr/web/ar/lu/luLandDet.jsp?pnu=4311325033100980015&amp;isNoScr=script&amp;mode=search", "토지이음")</f>
        <v/>
      </c>
      <c r="O265" s="3" t="inlineStr">
        <is>
          <t>학정</t>
        </is>
      </c>
      <c r="P265" s="4" t="n">
        <v>1</v>
      </c>
      <c r="Q265" s="4" t="n">
        <v>1468</v>
      </c>
      <c r="R265" s="3" t="inlineStr">
        <is>
          <t>지정되지않음</t>
        </is>
      </c>
      <c r="S265" s="3" t="inlineStr">
        <is>
          <t>답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세로한면(가)</t>
        </is>
      </c>
    </row>
    <row r="266">
      <c r="A266" s="3" t="inlineStr">
        <is>
          <t>오송읍 상정리 151-18</t>
        </is>
      </c>
      <c r="B266" s="3" t="inlineStr">
        <is>
          <t>보전관리지역</t>
        </is>
      </c>
      <c r="C266" s="3" t="inlineStr">
        <is>
          <t>창고용지</t>
        </is>
      </c>
      <c r="D266" s="3" t="inlineStr">
        <is>
          <t>창고용지</t>
        </is>
      </c>
      <c r="E266" s="3" t="inlineStr">
        <is>
          <t>매매</t>
        </is>
      </c>
      <c r="F266" s="4" t="n">
        <v>40400</v>
      </c>
      <c r="G266" s="4" t="n">
        <v>666</v>
      </c>
      <c r="H266" s="4" t="n">
        <v>201</v>
      </c>
      <c r="I266" s="5" t="n">
        <v>201</v>
      </c>
      <c r="J266" s="5" t="n">
        <v>70.2</v>
      </c>
      <c r="K266" s="3" t="inlineStr">
        <is>
          <t>전원주택단지조성된곳 바로인근 화장품단지개발호재</t>
        </is>
      </c>
      <c r="L266" s="6">
        <f>HYPERLINK("https://fin.land.naver.com/articles/2647609720", "매물Link")</f>
        <v/>
      </c>
      <c r="M266" s="6">
        <f>HYPERLINK("https://map.naver.com/p/search/오송읍 상정리 151-18", "지도Link")</f>
        <v/>
      </c>
      <c r="N266" s="6">
        <f>HYPERLINK("http://www.eum.go.kr/web/ar/lu/luLandDet.jsp?pnu=4311325022101510018&amp;isNoScr=script&amp;mode=search", "토지이음")</f>
        <v/>
      </c>
      <c r="O266" s="3" t="inlineStr">
        <is>
          <t>자이원</t>
        </is>
      </c>
      <c r="P266" s="4" t="n">
        <v>2</v>
      </c>
      <c r="Q266" s="4" t="n">
        <v>573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완경사</t>
        </is>
      </c>
      <c r="U266" s="3" t="inlineStr">
        <is>
          <t>세로장방</t>
        </is>
      </c>
      <c r="V266" s="3" t="inlineStr">
        <is>
          <t>세로한면(가)</t>
        </is>
      </c>
    </row>
    <row r="267">
      <c r="A267" s="3" t="inlineStr">
        <is>
          <t>오송읍 상정리 151-18</t>
        </is>
      </c>
      <c r="B267" s="3" t="inlineStr">
        <is>
          <t>보전관리지역</t>
        </is>
      </c>
      <c r="C267" s="3" t="inlineStr">
        <is>
          <t>창고용지</t>
        </is>
      </c>
      <c r="D267" s="3" t="inlineStr">
        <is>
          <t>창고용지</t>
        </is>
      </c>
      <c r="E267" s="3" t="inlineStr">
        <is>
          <t>매매</t>
        </is>
      </c>
      <c r="F267" s="4" t="n">
        <v>27000</v>
      </c>
      <c r="G267" s="4" t="n">
        <v>573</v>
      </c>
      <c r="H267" s="4" t="n">
        <v>173</v>
      </c>
      <c r="I267" s="5" t="n">
        <v>156.1</v>
      </c>
      <c r="J267" s="5" t="n">
        <v>70.2</v>
      </c>
      <c r="K267" s="3" t="inlineStr">
        <is>
          <t>전원주택 부지, 도심과 가까운 주택부지</t>
        </is>
      </c>
      <c r="L267" s="6">
        <f>HYPERLINK("https://fin.land.naver.com/articles/2645970707", "매물Link")</f>
        <v/>
      </c>
      <c r="M267" s="6">
        <f>HYPERLINK("https://map.naver.com/p/search/오송읍 상정리 151-18", "지도Link")</f>
        <v/>
      </c>
      <c r="N267" s="6">
        <f>HYPERLINK("http://www.eum.go.kr/web/ar/lu/luLandDet.jsp?pnu=4311325022101510018&amp;isNoScr=script&amp;mode=search", "토지이음")</f>
        <v/>
      </c>
      <c r="O267" s="3" t="inlineStr">
        <is>
          <t>오송2단지창조</t>
        </is>
      </c>
      <c r="P267" s="4" t="n">
        <v>1</v>
      </c>
      <c r="Q267" s="4" t="n">
        <v>573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완경사</t>
        </is>
      </c>
      <c r="U267" s="3" t="inlineStr">
        <is>
          <t>세로장방</t>
        </is>
      </c>
      <c r="V267" s="3" t="inlineStr">
        <is>
          <t>세로한면(가)</t>
        </is>
      </c>
    </row>
    <row r="268">
      <c r="A268" s="3" t="inlineStr">
        <is>
          <t>오송읍 상정리 174-7</t>
        </is>
      </c>
      <c r="B268" s="3" t="inlineStr">
        <is>
          <t>계획관리지역</t>
        </is>
      </c>
      <c r="C268" s="3" t="inlineStr">
        <is>
          <t>전</t>
        </is>
      </c>
      <c r="D268" s="3" t="inlineStr">
        <is>
          <t>전</t>
        </is>
      </c>
      <c r="E268" s="3" t="inlineStr">
        <is>
          <t>매매</t>
        </is>
      </c>
      <c r="F268" s="4" t="n">
        <v>80000</v>
      </c>
      <c r="G268" s="4" t="n">
        <v>982</v>
      </c>
      <c r="H268" s="4" t="n">
        <v>297</v>
      </c>
      <c r="I268" s="5" t="n">
        <v>269.4</v>
      </c>
      <c r="J268" s="5" t="n">
        <v>43.7</v>
      </c>
      <c r="K268" s="3" t="inlineStr">
        <is>
          <t>2차선 지방도로에 접한 오송1산업단지와 인접한 계획관리 농지</t>
        </is>
      </c>
      <c r="L268" s="6">
        <f>HYPERLINK("https://fin.land.naver.com/articles/2645397076", "매물Link")</f>
        <v/>
      </c>
      <c r="M268" s="6">
        <f>HYPERLINK("https://map.naver.com/p/search/오송읍 상정리 174-7", "지도Link")</f>
        <v/>
      </c>
      <c r="N268" s="6">
        <f>HYPERLINK("http://www.eum.go.kr/web/ar/lu/luLandDet.jsp?pnu=4311325022101740007&amp;isNoScr=script&amp;mode=search", "토지이음")</f>
        <v/>
      </c>
      <c r="O268" s="3" t="inlineStr">
        <is>
          <t>오송랜드</t>
        </is>
      </c>
      <c r="P268" s="4" t="n">
        <v>1</v>
      </c>
      <c r="Q268" s="4" t="n">
        <v>982</v>
      </c>
      <c r="R268" s="3" t="inlineStr">
        <is>
          <t>지정되지않음</t>
        </is>
      </c>
      <c r="S268" s="3" t="inlineStr">
        <is>
          <t>전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오송읍 상정리 185-2</t>
        </is>
      </c>
      <c r="B269" s="3" t="inlineStr">
        <is>
          <t>계획관리지역</t>
        </is>
      </c>
      <c r="C269" s="3" t="inlineStr">
        <is>
          <t>전</t>
        </is>
      </c>
      <c r="D269" s="3" t="inlineStr">
        <is>
          <t>전</t>
        </is>
      </c>
      <c r="E269" s="3" t="inlineStr">
        <is>
          <t>매매</t>
        </is>
      </c>
      <c r="F269" s="4" t="n">
        <v>61000</v>
      </c>
      <c r="G269" s="4" t="n">
        <v>1299</v>
      </c>
      <c r="H269" s="4" t="n">
        <v>393</v>
      </c>
      <c r="I269" s="5" t="n">
        <v>155.2</v>
      </c>
      <c r="J269" s="5" t="n">
        <v>38.1</v>
      </c>
      <c r="K269" s="3" t="inlineStr">
        <is>
          <t>계획관리 화장품단지인근 전원주택개발지 추후공시지가상승예정지 투자적합</t>
        </is>
      </c>
      <c r="L269" s="6">
        <f>HYPERLINK("https://fin.land.naver.com/articles/2647626107", "매물Link")</f>
        <v/>
      </c>
      <c r="M269" s="6">
        <f>HYPERLINK("https://map.naver.com/p/search/오송읍 상정리 185-2", "지도Link")</f>
        <v/>
      </c>
      <c r="N269" s="6">
        <f>HYPERLINK("http://www.eum.go.kr/web/ar/lu/luLandDet.jsp?pnu=4311325022101850002&amp;isNoScr=script&amp;mode=search", "토지이음")</f>
        <v/>
      </c>
      <c r="O269" s="3" t="inlineStr">
        <is>
          <t>자이원</t>
        </is>
      </c>
      <c r="P269" s="4" t="n">
        <v>2</v>
      </c>
      <c r="Q269" s="4" t="n">
        <v>1299</v>
      </c>
      <c r="R269" s="3" t="inlineStr">
        <is>
          <t>지정되지않음</t>
        </is>
      </c>
      <c r="S269" s="3" t="inlineStr">
        <is>
          <t>전</t>
        </is>
      </c>
      <c r="T269" s="3" t="inlineStr">
        <is>
          <t>평지</t>
        </is>
      </c>
      <c r="U269" s="3" t="inlineStr">
        <is>
          <t>부정형</t>
        </is>
      </c>
      <c r="V269" s="3" t="inlineStr">
        <is>
          <t>세로한면(가)</t>
        </is>
      </c>
    </row>
    <row r="270">
      <c r="A270" s="3" t="inlineStr">
        <is>
          <t>오송읍 상정리 189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130000</v>
      </c>
      <c r="G270" s="4" t="n">
        <v>1413</v>
      </c>
      <c r="H270" s="4" t="n">
        <v>427</v>
      </c>
      <c r="I270" s="5" t="n">
        <v>304.4</v>
      </c>
      <c r="J270" s="5" t="n">
        <v>84.3</v>
      </c>
      <c r="K270" s="3" t="inlineStr">
        <is>
          <t>오송읍 2차선 도로접한 계획관리 토지매매</t>
        </is>
      </c>
      <c r="L270" s="6">
        <f>HYPERLINK("https://fin.land.naver.com/articles/2647592687", "매물Link")</f>
        <v/>
      </c>
      <c r="M270" s="6">
        <f>HYPERLINK("https://map.naver.com/p/search/오송읍 상정리 189", "지도Link")</f>
        <v/>
      </c>
      <c r="N270" s="6">
        <f>HYPERLINK("http://www.eum.go.kr/web/ar/lu/luLandDet.jsp?pnu=4311325022101890000&amp;isNoScr=script&amp;mode=search", "토지이음")</f>
        <v/>
      </c>
      <c r="O270" s="3" t="inlineStr">
        <is>
          <t>대지</t>
        </is>
      </c>
      <c r="P270" s="4" t="n">
        <v>1</v>
      </c>
      <c r="Q270" s="4" t="n">
        <v>733</v>
      </c>
      <c r="R270" s="3" t="inlineStr">
        <is>
          <t>지정되지않음</t>
        </is>
      </c>
      <c r="S270" s="3" t="inlineStr">
        <is>
          <t>단독</t>
        </is>
      </c>
      <c r="T270" s="3" t="inlineStr">
        <is>
          <t>평지</t>
        </is>
      </c>
      <c r="U270" s="3" t="inlineStr">
        <is>
          <t>자루형</t>
        </is>
      </c>
      <c r="V270" s="3" t="inlineStr">
        <is>
          <t>소로한면</t>
        </is>
      </c>
    </row>
    <row r="271">
      <c r="A271" s="3" t="inlineStr">
        <is>
          <t>오송읍 상정리 191-7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86000</v>
      </c>
      <c r="G271" s="4" t="n">
        <v>1011</v>
      </c>
      <c r="H271" s="4" t="n">
        <v>306</v>
      </c>
      <c r="I271" s="5" t="n">
        <v>281</v>
      </c>
      <c r="J271" s="5" t="n">
        <v>83.59999999999999</v>
      </c>
      <c r="K271" s="3" t="inlineStr">
        <is>
          <t>2차선 지방도 인접한 계획관리지역의 토지로 근생가능용지</t>
        </is>
      </c>
      <c r="L271" s="6">
        <f>HYPERLINK("https://fin.land.naver.com/articles/2646745552", "매물Link")</f>
        <v/>
      </c>
      <c r="M271" s="6">
        <f>HYPERLINK("https://map.naver.com/p/search/오송읍 상정리 191-7", "지도Link")</f>
        <v/>
      </c>
      <c r="N271" s="6">
        <f>HYPERLINK("http://www.eum.go.kr/web/ar/lu/luLandDet.jsp?pnu=4311325022101910007&amp;isNoScr=script&amp;mode=search", "토지이음")</f>
        <v/>
      </c>
      <c r="O271" s="3" t="inlineStr">
        <is>
          <t>오송k랜드</t>
        </is>
      </c>
      <c r="P271" s="4" t="n">
        <v>1</v>
      </c>
      <c r="Q271" s="4" t="n">
        <v>1011</v>
      </c>
      <c r="R271" s="3" t="inlineStr">
        <is>
          <t>지정되지않음</t>
        </is>
      </c>
      <c r="S271" s="3" t="inlineStr">
        <is>
          <t>단독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세로한면(가)</t>
        </is>
      </c>
    </row>
    <row r="272">
      <c r="A272" s="3" t="inlineStr">
        <is>
          <t>오송읍 상정리 261</t>
        </is>
      </c>
      <c r="B272" s="3" t="inlineStr">
        <is>
          <t>농림지역</t>
        </is>
      </c>
      <c r="C272" s="3" t="inlineStr">
        <is>
          <t>답</t>
        </is>
      </c>
      <c r="D272" s="3" t="inlineStr">
        <is>
          <t>답</t>
        </is>
      </c>
      <c r="E272" s="3" t="inlineStr">
        <is>
          <t>매매</t>
        </is>
      </c>
      <c r="F272" s="4" t="n">
        <v>27000</v>
      </c>
      <c r="G272" s="4" t="n">
        <v>1083</v>
      </c>
      <c r="H272" s="4" t="n">
        <v>328</v>
      </c>
      <c r="I272" s="5" t="n">
        <v>82.3</v>
      </c>
      <c r="J272" s="5" t="n">
        <v>23.3</v>
      </c>
      <c r="K272" s="3" t="inlineStr">
        <is>
          <t>농림지역</t>
        </is>
      </c>
      <c r="L272" s="6">
        <f>HYPERLINK("https://fin.land.naver.com/articles/2648107540", "매물Link")</f>
        <v/>
      </c>
      <c r="M272" s="6">
        <f>HYPERLINK("https://map.naver.com/p/search/오송읍 상정리 261", "지도Link")</f>
        <v/>
      </c>
      <c r="N272" s="6">
        <f>HYPERLINK("http://www.eum.go.kr/web/ar/lu/luLandDet.jsp?pnu=4311325022102610000&amp;isNoScr=script&amp;mode=search", "토지이음")</f>
        <v/>
      </c>
      <c r="O272" s="3" t="inlineStr">
        <is>
          <t>수풀림</t>
        </is>
      </c>
      <c r="P272" s="4" t="n">
        <v>1</v>
      </c>
      <c r="Q272" s="4" t="n">
        <v>1083</v>
      </c>
      <c r="R272" s="3" t="inlineStr">
        <is>
          <t>지정되지않음</t>
        </is>
      </c>
      <c r="S272" s="3" t="inlineStr">
        <is>
          <t>답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세로한면(가)</t>
        </is>
      </c>
    </row>
    <row r="273">
      <c r="A273" s="3" t="inlineStr">
        <is>
          <t>오송읍 상정리 306</t>
        </is>
      </c>
      <c r="B273" s="3" t="inlineStr">
        <is>
          <t>농림지역</t>
        </is>
      </c>
      <c r="C273" s="3" t="inlineStr">
        <is>
          <t>답</t>
        </is>
      </c>
      <c r="D273" s="3" t="inlineStr">
        <is>
          <t>답</t>
        </is>
      </c>
      <c r="E273" s="3" t="inlineStr">
        <is>
          <t>매매</t>
        </is>
      </c>
      <c r="F273" s="4" t="n">
        <v>42000</v>
      </c>
      <c r="G273" s="4" t="n">
        <v>1714</v>
      </c>
      <c r="H273" s="4" t="n">
        <v>518</v>
      </c>
      <c r="I273" s="5" t="n">
        <v>81.09999999999999</v>
      </c>
      <c r="J273" s="5" t="n">
        <v>26.1</v>
      </c>
      <c r="K273" s="3" t="inlineStr">
        <is>
          <t>농림지역 대토권 최적의 입지 농가 주택 가능한 토지 투자가치 뿜뿜</t>
        </is>
      </c>
      <c r="L273" s="6">
        <f>HYPERLINK("https://fin.land.naver.com/articles/2648907417", "매물Link")</f>
        <v/>
      </c>
      <c r="M273" s="6">
        <f>HYPERLINK("https://map.naver.com/p/search/오송읍 상정리 306", "지도Link")</f>
        <v/>
      </c>
      <c r="N273" s="6">
        <f>HYPERLINK("http://www.eum.go.kr/web/ar/lu/luLandDet.jsp?pnu=4311325022103060000&amp;isNoScr=script&amp;mode=search", "토지이음")</f>
        <v/>
      </c>
      <c r="O273" s="3" t="inlineStr">
        <is>
          <t>오송퍼스트영웅</t>
        </is>
      </c>
      <c r="P273" s="4" t="n">
        <v>1</v>
      </c>
      <c r="Q273" s="4" t="n">
        <v>1714</v>
      </c>
      <c r="R273" s="3" t="inlineStr">
        <is>
          <t>지정되지않음</t>
        </is>
      </c>
      <c r="S273" s="3" t="inlineStr">
        <is>
          <t>전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세로한면(불)</t>
        </is>
      </c>
    </row>
    <row r="274">
      <c r="A274" s="3" t="inlineStr">
        <is>
          <t>오송읍 상정리 62-2</t>
        </is>
      </c>
      <c r="B274" s="3" t="inlineStr">
        <is>
          <t>농림지역</t>
        </is>
      </c>
      <c r="C274" s="3" t="inlineStr">
        <is>
          <t>전</t>
        </is>
      </c>
      <c r="D274" s="3" t="inlineStr">
        <is>
          <t>전</t>
        </is>
      </c>
      <c r="E274" s="3" t="inlineStr">
        <is>
          <t>매매</t>
        </is>
      </c>
      <c r="F274" s="4" t="n">
        <v>58000</v>
      </c>
      <c r="G274" s="4" t="n">
        <v>647</v>
      </c>
      <c r="H274" s="4" t="n">
        <v>196</v>
      </c>
      <c r="I274" s="5" t="n">
        <v>295.9</v>
      </c>
      <c r="J274" s="5" t="n">
        <v>53.2</v>
      </c>
      <c r="K274" s="3" t="inlineStr">
        <is>
          <t>농업용 주택부설창고</t>
        </is>
      </c>
      <c r="L274" s="6">
        <f>HYPERLINK("https://fin.land.naver.com/articles/2650749483", "매물Link")</f>
        <v/>
      </c>
      <c r="M274" s="6">
        <f>HYPERLINK("https://map.naver.com/p/search/오송읍 상정리 62-2", "지도Link")</f>
        <v/>
      </c>
      <c r="N274" s="6">
        <f>HYPERLINK("http://www.eum.go.kr/web/ar/lu/luLandDet.jsp?pnu=4311325022100620002&amp;isNoScr=script&amp;mode=search", "토지이음")</f>
        <v/>
      </c>
      <c r="O274" s="3" t="inlineStr">
        <is>
          <t>현담</t>
        </is>
      </c>
      <c r="P274" s="4" t="n">
        <v>1</v>
      </c>
      <c r="Q274" s="4" t="n">
        <v>647</v>
      </c>
      <c r="R274" s="3" t="inlineStr">
        <is>
          <t>지정되지않음</t>
        </is>
      </c>
      <c r="S274" s="3" t="inlineStr">
        <is>
          <t>단독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소로한면</t>
        </is>
      </c>
    </row>
    <row r="275">
      <c r="A275" s="3" t="inlineStr">
        <is>
          <t>오송읍 상정리 669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36000</v>
      </c>
      <c r="G275" s="4" t="n">
        <v>507</v>
      </c>
      <c r="H275" s="4" t="n">
        <v>153</v>
      </c>
      <c r="I275" s="5" t="n">
        <v>235.3</v>
      </c>
      <c r="J275" s="5" t="n">
        <v>80.09999999999999</v>
      </c>
      <c r="K275" s="3" t="inlineStr">
        <is>
          <t>작은주택이 있는 전원주택부지</t>
        </is>
      </c>
      <c r="L275" s="6">
        <f>HYPERLINK("https://fin.land.naver.com/articles/2649989115", "매물Link")</f>
        <v/>
      </c>
      <c r="M275" s="6">
        <f>HYPERLINK("https://map.naver.com/p/search/오송읍 상정리 669", "지도Link")</f>
        <v/>
      </c>
      <c r="N275" s="6">
        <f>HYPERLINK("http://www.eum.go.kr/web/ar/lu/luLandDet.jsp?pnu=4311325022106690000&amp;isNoScr=script&amp;mode=search", "토지이음")</f>
        <v/>
      </c>
      <c r="O275" s="3" t="inlineStr">
        <is>
          <t>오송2단지창조</t>
        </is>
      </c>
      <c r="P275" s="4" t="n">
        <v>1</v>
      </c>
      <c r="Q275" s="4" t="n">
        <v>507.1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완경사</t>
        </is>
      </c>
      <c r="U275" s="3" t="inlineStr">
        <is>
          <t>세로장방</t>
        </is>
      </c>
      <c r="V275" s="3" t="inlineStr">
        <is>
          <t>세로한면(가)</t>
        </is>
      </c>
    </row>
    <row r="276">
      <c r="A276" s="3" t="inlineStr">
        <is>
          <t>오송읍 상정리 725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33000</v>
      </c>
      <c r="G276" s="4" t="n">
        <v>541</v>
      </c>
      <c r="H276" s="4" t="n">
        <v>164</v>
      </c>
      <c r="I276" s="5" t="n">
        <v>201.2</v>
      </c>
      <c r="J276" s="5" t="n">
        <v>80.09999999999999</v>
      </c>
      <c r="K276" s="3" t="inlineStr">
        <is>
          <t>고급 전원주택 단지 계획관리지역 건폐율60 지역 화장품단지 호재</t>
        </is>
      </c>
      <c r="L276" s="6">
        <f>HYPERLINK("https://fin.land.naver.com/articles/2649903782", "매물Link")</f>
        <v/>
      </c>
      <c r="M276" s="6">
        <f>HYPERLINK("https://map.naver.com/p/search/오송읍 상정리 725", "지도Link")</f>
        <v/>
      </c>
      <c r="N276" s="6">
        <f>HYPERLINK("http://www.eum.go.kr/web/ar/lu/luLandDet.jsp?pnu=4311325022107250000&amp;isNoScr=script&amp;mode=search", "토지이음")</f>
        <v/>
      </c>
      <c r="O276" s="3" t="inlineStr">
        <is>
          <t>프렌즈</t>
        </is>
      </c>
      <c r="P276" s="4" t="n">
        <v>1</v>
      </c>
      <c r="Q276" s="4" t="n">
        <v>541.1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완경사</t>
        </is>
      </c>
      <c r="U276" s="3" t="inlineStr">
        <is>
          <t>세로장방</t>
        </is>
      </c>
      <c r="V276" s="3" t="inlineStr">
        <is>
          <t>세로한면(가)</t>
        </is>
      </c>
    </row>
    <row r="277">
      <c r="A277" s="3" t="inlineStr">
        <is>
          <t>오송읍 상정리 751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29000</v>
      </c>
      <c r="G277" s="4" t="n">
        <v>535</v>
      </c>
      <c r="H277" s="4" t="n">
        <v>162</v>
      </c>
      <c r="I277" s="5" t="n">
        <v>179</v>
      </c>
      <c r="J277" s="5" t="n">
        <v>80.09999999999999</v>
      </c>
      <c r="K277" s="3" t="inlineStr">
        <is>
          <t>오송의 1산단 인접지.식약처등 국책기관과 바이오 기관 인접지</t>
        </is>
      </c>
      <c r="L277" s="6">
        <f>HYPERLINK("https://fin.land.naver.com/articles/2645083163", "매물Link")</f>
        <v/>
      </c>
      <c r="M277" s="6">
        <f>HYPERLINK("https://map.naver.com/p/search/오송읍 상정리 751", "지도Link")</f>
        <v/>
      </c>
      <c r="N277" s="6">
        <f>HYPERLINK("http://www.eum.go.kr/web/ar/lu/luLandDet.jsp?pnu=4311325022107510000&amp;isNoScr=script&amp;mode=search", "토지이음")</f>
        <v/>
      </c>
      <c r="O277" s="3" t="inlineStr">
        <is>
          <t>하나로</t>
        </is>
      </c>
      <c r="P277" s="4" t="n">
        <v>1</v>
      </c>
      <c r="Q277" s="4" t="n">
        <v>535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완경사</t>
        </is>
      </c>
      <c r="U277" s="3" t="inlineStr">
        <is>
          <t>가로장방</t>
        </is>
      </c>
      <c r="V277" s="3" t="inlineStr">
        <is>
          <t>세로한면(가)</t>
        </is>
      </c>
    </row>
    <row r="278">
      <c r="A278" s="3" t="inlineStr">
        <is>
          <t>오송읍 상정리 751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29000</v>
      </c>
      <c r="G278" s="4" t="n">
        <v>535</v>
      </c>
      <c r="H278" s="4" t="n">
        <v>162</v>
      </c>
      <c r="I278" s="5" t="n">
        <v>179</v>
      </c>
      <c r="J278" s="5" t="n">
        <v>80.09999999999999</v>
      </c>
      <c r="K278" s="3" t="inlineStr">
        <is>
          <t>nan</t>
        </is>
      </c>
      <c r="L278" s="6">
        <f>HYPERLINK("https://fin.land.naver.com/articles/2646062468", "매물Link")</f>
        <v/>
      </c>
      <c r="M278" s="6">
        <f>HYPERLINK("https://map.naver.com/p/search/오송읍 상정리 751", "지도Link")</f>
        <v/>
      </c>
      <c r="N278" s="6">
        <f>HYPERLINK("http://www.eum.go.kr/web/ar/lu/luLandDet.jsp?pnu=4311325022107510000&amp;isNoScr=script&amp;mode=search", "토지이음")</f>
        <v/>
      </c>
      <c r="O278" s="3" t="inlineStr">
        <is>
          <t>OK파라곤</t>
        </is>
      </c>
      <c r="P278" s="4" t="n">
        <v>3</v>
      </c>
      <c r="Q278" s="4" t="n">
        <v>535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완경사</t>
        </is>
      </c>
      <c r="U278" s="3" t="inlineStr">
        <is>
          <t>가로장방</t>
        </is>
      </c>
      <c r="V278" s="3" t="inlineStr">
        <is>
          <t>세로한면(가)</t>
        </is>
      </c>
    </row>
    <row r="279">
      <c r="A279" s="3" t="inlineStr">
        <is>
          <t>오송읍 상정리 79</t>
        </is>
      </c>
      <c r="B279" s="3" t="inlineStr">
        <is>
          <t>생산관리지역</t>
        </is>
      </c>
      <c r="C279" s="3" t="inlineStr">
        <is>
          <t>답</t>
        </is>
      </c>
      <c r="D279" s="3" t="inlineStr">
        <is>
          <t>답</t>
        </is>
      </c>
      <c r="E279" s="3" t="inlineStr">
        <is>
          <t>매매</t>
        </is>
      </c>
      <c r="F279" s="4" t="n">
        <v>32000</v>
      </c>
      <c r="G279" s="4" t="n">
        <v>2383</v>
      </c>
      <c r="H279" s="4" t="n">
        <v>721</v>
      </c>
      <c r="I279" s="5" t="n">
        <v>44.4</v>
      </c>
      <c r="J279" s="5" t="n">
        <v>18</v>
      </c>
      <c r="K279" s="3" t="inlineStr">
        <is>
          <t>여유를 만끽할 수 있는 토지,  인근전원주택지 개발된 오송화장품 산단 옆</t>
        </is>
      </c>
      <c r="L279" s="6">
        <f>HYPERLINK("https://fin.land.naver.com/articles/2649495113", "매물Link")</f>
        <v/>
      </c>
      <c r="M279" s="6">
        <f>HYPERLINK("https://map.naver.com/p/search/오송읍 상정리 79", "지도Link")</f>
        <v/>
      </c>
      <c r="N279" s="6">
        <f>HYPERLINK("http://www.eum.go.kr/web/ar/lu/luLandDet.jsp?pnu=4311325022100790000&amp;isNoScr=script&amp;mode=search", "토지이음")</f>
        <v/>
      </c>
      <c r="O279" s="3" t="inlineStr">
        <is>
          <t>OK파라곤</t>
        </is>
      </c>
      <c r="P279" s="4" t="n">
        <v>1</v>
      </c>
      <c r="Q279" s="4" t="n">
        <v>2383</v>
      </c>
      <c r="R279" s="3" t="inlineStr">
        <is>
          <t>지정되지않음</t>
        </is>
      </c>
      <c r="S279" s="3" t="inlineStr">
        <is>
          <t>전</t>
        </is>
      </c>
      <c r="T279" s="3" t="inlineStr">
        <is>
          <t>완경사</t>
        </is>
      </c>
      <c r="U279" s="3" t="inlineStr">
        <is>
          <t>부정형</t>
        </is>
      </c>
      <c r="V279" s="3" t="inlineStr">
        <is>
          <t>세로한면(불)</t>
        </is>
      </c>
    </row>
    <row r="280">
      <c r="A280" s="3" t="inlineStr">
        <is>
          <t>오송읍 상정리 89-34</t>
        </is>
      </c>
      <c r="B280" s="3" t="inlineStr">
        <is>
          <t>보전관리지역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651</v>
      </c>
      <c r="H280" s="4" t="n">
        <v>197</v>
      </c>
      <c r="I280" s="5" t="n">
        <v>304.6</v>
      </c>
      <c r="J280" s="5" t="n">
        <v>76.09999999999999</v>
      </c>
      <c r="K280" s="3" t="inlineStr">
        <is>
          <t>동물병원</t>
        </is>
      </c>
      <c r="L280" s="6">
        <f>HYPERLINK("https://fin.land.naver.com/articles/2647651688", "매물Link")</f>
        <v/>
      </c>
      <c r="M280" s="6">
        <f>HYPERLINK("https://map.naver.com/p/search/오송읍 상정리 89-34", "지도Link")</f>
        <v/>
      </c>
      <c r="N280" s="6">
        <f>HYPERLINK("http://www.eum.go.kr/web/ar/lu/luLandDet.jsp?pnu=4311325022100890034&amp;isNoScr=script&amp;mode=search", "토지이음")</f>
        <v/>
      </c>
      <c r="O280" s="3" t="inlineStr">
        <is>
          <t>현담</t>
        </is>
      </c>
      <c r="P280" s="4" t="n">
        <v>1</v>
      </c>
      <c r="Q280" s="4" t="n">
        <v>651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완경사</t>
        </is>
      </c>
      <c r="U280" s="3" t="inlineStr">
        <is>
          <t>사다리형</t>
        </is>
      </c>
      <c r="V280" s="3" t="inlineStr">
        <is>
          <t>세로각지(가)</t>
        </is>
      </c>
    </row>
    <row r="281">
      <c r="A281" s="3" t="inlineStr">
        <is>
          <t>오송읍 상정리 산55-2</t>
        </is>
      </c>
      <c r="B281" s="3" t="inlineStr">
        <is>
          <t>보전관리지역</t>
        </is>
      </c>
      <c r="C281" s="3" t="inlineStr">
        <is>
          <t>임야</t>
        </is>
      </c>
      <c r="D281" s="3" t="inlineStr">
        <is>
          <t>임야</t>
        </is>
      </c>
      <c r="E281" s="3" t="inlineStr">
        <is>
          <t>매매</t>
        </is>
      </c>
      <c r="F281" s="4" t="n">
        <v>31845</v>
      </c>
      <c r="G281" s="4" t="n">
        <v>637</v>
      </c>
      <c r="H281" s="4" t="n">
        <v>193</v>
      </c>
      <c r="I281" s="5" t="n">
        <v>165</v>
      </c>
      <c r="J281" s="5" t="n">
        <v>74.90000000000001</v>
      </c>
      <c r="K281" s="3" t="inlineStr">
        <is>
          <t>전원투택용지 화장품단지인근 전원주택마을</t>
        </is>
      </c>
      <c r="L281" s="6">
        <f>HYPERLINK("https://fin.land.naver.com/articles/2647625447", "매물Link")</f>
        <v/>
      </c>
      <c r="M281" s="6">
        <f>HYPERLINK("https://map.naver.com/p/search/오송읍 상정리 산55-2", "지도Link")</f>
        <v/>
      </c>
      <c r="N281" s="6">
        <f>HYPERLINK("http://www.eum.go.kr/web/ar/lu/luLandDet.jsp?pnu=4311325022200550002&amp;isNoScr=script&amp;mode=search", "토지이음")</f>
        <v/>
      </c>
      <c r="O281" s="3" t="inlineStr">
        <is>
          <t>자이원</t>
        </is>
      </c>
      <c r="P281" s="4" t="n">
        <v>2</v>
      </c>
      <c r="Q281" s="4" t="n">
        <v>595</v>
      </c>
      <c r="R281" s="3" t="inlineStr">
        <is>
          <t>계획관리지역</t>
        </is>
      </c>
      <c r="S281" s="3" t="inlineStr">
        <is>
          <t>주거나지</t>
        </is>
      </c>
      <c r="T281" s="3" t="inlineStr">
        <is>
          <t>완경사</t>
        </is>
      </c>
      <c r="U281" s="3" t="inlineStr">
        <is>
          <t>자루형</t>
        </is>
      </c>
      <c r="V281" s="3" t="inlineStr">
        <is>
          <t>세로한면(가)</t>
        </is>
      </c>
    </row>
    <row r="282">
      <c r="A282" s="3" t="inlineStr">
        <is>
          <t>오송읍 상정리 산55-3</t>
        </is>
      </c>
      <c r="B282" s="3" t="inlineStr">
        <is>
          <t>보전관리지역</t>
        </is>
      </c>
      <c r="C282" s="3" t="inlineStr">
        <is>
          <t>임야</t>
        </is>
      </c>
      <c r="D282" s="3" t="inlineStr">
        <is>
          <t>임야</t>
        </is>
      </c>
      <c r="E282" s="3" t="inlineStr">
        <is>
          <t>매매</t>
        </is>
      </c>
      <c r="F282" s="4" t="n">
        <v>30000</v>
      </c>
      <c r="G282" s="4" t="n">
        <v>555</v>
      </c>
      <c r="H282" s="4" t="n">
        <v>168</v>
      </c>
      <c r="I282" s="5" t="n">
        <v>178.6</v>
      </c>
      <c r="J282" s="5" t="n">
        <v>78.3</v>
      </c>
      <c r="K282" s="3" t="inlineStr">
        <is>
          <t>nan</t>
        </is>
      </c>
      <c r="L282" s="6">
        <f>HYPERLINK("https://fin.land.naver.com/articles/2647631044", "매물Link")</f>
        <v/>
      </c>
      <c r="M282" s="6">
        <f>HYPERLINK("https://map.naver.com/p/search/오송읍 상정리 산55-3", "지도Link")</f>
        <v/>
      </c>
      <c r="N282" s="6">
        <f>HYPERLINK("http://www.eum.go.kr/web/ar/lu/luLandDet.jsp?pnu=4311325022200550003&amp;isNoScr=script&amp;mode=search", "토지이음")</f>
        <v/>
      </c>
      <c r="O282" s="3" t="inlineStr">
        <is>
          <t>프로</t>
        </is>
      </c>
      <c r="P282" s="4" t="n">
        <v>2</v>
      </c>
      <c r="Q282" s="4" t="n">
        <v>555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완경사</t>
        </is>
      </c>
      <c r="U282" s="3" t="inlineStr">
        <is>
          <t>사다리형</t>
        </is>
      </c>
      <c r="V282" s="3" t="inlineStr">
        <is>
          <t>세로한면(가)</t>
        </is>
      </c>
    </row>
    <row r="283">
      <c r="A283" s="3" t="inlineStr">
        <is>
          <t>오송읍 서평리 127</t>
        </is>
      </c>
      <c r="B283" s="3" t="inlineStr">
        <is>
          <t>농림지역</t>
        </is>
      </c>
      <c r="C283" s="3" t="inlineStr">
        <is>
          <t>답</t>
        </is>
      </c>
      <c r="D283" s="3" t="inlineStr">
        <is>
          <t>답</t>
        </is>
      </c>
      <c r="E283" s="3" t="inlineStr">
        <is>
          <t>매매</t>
        </is>
      </c>
      <c r="F283" s="4" t="n">
        <v>153000</v>
      </c>
      <c r="G283" s="4" t="n">
        <v>4225</v>
      </c>
      <c r="H283" s="4" t="n">
        <v>1278</v>
      </c>
      <c r="I283" s="5" t="n">
        <v>119.7</v>
      </c>
      <c r="J283" s="5" t="n">
        <v>59.4</v>
      </c>
      <c r="K283" s="3" t="inlineStr">
        <is>
          <t>오송제3국가산업단지 개발예정지 도로에 접한 토지</t>
        </is>
      </c>
      <c r="L283" s="6">
        <f>HYPERLINK("https://fin.land.naver.com/articles/2646007810", "매물Link")</f>
        <v/>
      </c>
      <c r="M283" s="6">
        <f>HYPERLINK("https://map.naver.com/p/search/오송읍 서평리 127", "지도Link")</f>
        <v/>
      </c>
      <c r="N283" s="6">
        <f>HYPERLINK("http://www.eum.go.kr/web/ar/lu/luLandDet.jsp?pnu=4311325030101270000&amp;isNoScr=script&amp;mode=search", "토지이음")</f>
        <v/>
      </c>
      <c r="O283" s="3" t="inlineStr">
        <is>
          <t>세종대박</t>
        </is>
      </c>
      <c r="P283" s="4" t="n">
        <v>1</v>
      </c>
      <c r="Q283" s="4" t="n">
        <v>4225</v>
      </c>
      <c r="R283" s="3" t="inlineStr">
        <is>
          <t>지정되지않음</t>
        </is>
      </c>
      <c r="S283" s="3" t="inlineStr">
        <is>
          <t>답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소로각지</t>
        </is>
      </c>
    </row>
    <row r="284">
      <c r="A284" s="3" t="inlineStr">
        <is>
          <t>오송읍 서평리 128</t>
        </is>
      </c>
      <c r="B284" s="3" t="inlineStr">
        <is>
          <t>농림지역</t>
        </is>
      </c>
      <c r="C284" s="3" t="inlineStr">
        <is>
          <t>답</t>
        </is>
      </c>
      <c r="D284" s="3" t="inlineStr">
        <is>
          <t>답</t>
        </is>
      </c>
      <c r="E284" s="3" t="inlineStr">
        <is>
          <t>매매</t>
        </is>
      </c>
      <c r="F284" s="4" t="n">
        <v>132000</v>
      </c>
      <c r="G284" s="4" t="n">
        <v>3967</v>
      </c>
      <c r="H284" s="4" t="n">
        <v>1200</v>
      </c>
      <c r="I284" s="5" t="n">
        <v>110</v>
      </c>
      <c r="J284" s="5" t="n">
        <v>55.5</v>
      </c>
      <c r="K284" s="3" t="inlineStr">
        <is>
          <t>오송제3국가산업단지 개발예정지 도로에 접한 토지</t>
        </is>
      </c>
      <c r="L284" s="6">
        <f>HYPERLINK("https://fin.land.naver.com/articles/2646008020", "매물Link")</f>
        <v/>
      </c>
      <c r="M284" s="6">
        <f>HYPERLINK("https://map.naver.com/p/search/오송읍 서평리 128", "지도Link")</f>
        <v/>
      </c>
      <c r="N284" s="6">
        <f>HYPERLINK("http://www.eum.go.kr/web/ar/lu/luLandDet.jsp?pnu=4311325030101280000&amp;isNoScr=script&amp;mode=search", "토지이음")</f>
        <v/>
      </c>
      <c r="O284" s="3" t="inlineStr">
        <is>
          <t>세종대박</t>
        </is>
      </c>
      <c r="P284" s="4" t="n">
        <v>1</v>
      </c>
      <c r="Q284" s="4" t="n">
        <v>3967</v>
      </c>
      <c r="R284" s="3" t="inlineStr">
        <is>
          <t>지정되지않음</t>
        </is>
      </c>
      <c r="S284" s="3" t="inlineStr">
        <is>
          <t>답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오송읍 서평리 129</t>
        </is>
      </c>
      <c r="B285" s="3" t="inlineStr">
        <is>
          <t>농림지역</t>
        </is>
      </c>
      <c r="C285" s="3" t="inlineStr">
        <is>
          <t>답</t>
        </is>
      </c>
      <c r="D285" s="3" t="inlineStr">
        <is>
          <t>답</t>
        </is>
      </c>
      <c r="E285" s="3" t="inlineStr">
        <is>
          <t>매매</t>
        </is>
      </c>
      <c r="F285" s="4" t="n">
        <v>170000</v>
      </c>
      <c r="G285" s="4" t="n">
        <v>5088</v>
      </c>
      <c r="H285" s="4" t="n">
        <v>1539</v>
      </c>
      <c r="I285" s="5" t="n">
        <v>110.5</v>
      </c>
      <c r="J285" s="5" t="n">
        <v>55.5</v>
      </c>
      <c r="K285" s="3" t="inlineStr">
        <is>
          <t>오송 제3생명과학 국가산업단지 인근토지, 2차선도로에 접함,두필지,절충</t>
        </is>
      </c>
      <c r="L285" s="6">
        <f>HYPERLINK("https://fin.land.naver.com/articles/2645161336", "매물Link")</f>
        <v/>
      </c>
      <c r="M285" s="6">
        <f>HYPERLINK("https://map.naver.com/p/search/오송읍 서평리 129", "지도Link")</f>
        <v/>
      </c>
      <c r="N285" s="6">
        <f>HYPERLINK("http://www.eum.go.kr/web/ar/lu/luLandDet.jsp?pnu=4311325030101290000&amp;isNoScr=script&amp;mode=search", "토지이음")</f>
        <v/>
      </c>
      <c r="O285" s="3" t="inlineStr">
        <is>
          <t>금호무소</t>
        </is>
      </c>
      <c r="P285" s="4" t="n">
        <v>1</v>
      </c>
      <c r="Q285" s="4" t="n">
        <v>4116</v>
      </c>
      <c r="R285" s="3" t="inlineStr">
        <is>
          <t>지정되지않음</t>
        </is>
      </c>
      <c r="S285" s="3" t="inlineStr">
        <is>
          <t>답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오송읍 서평리 129</t>
        </is>
      </c>
      <c r="B286" s="3" t="inlineStr">
        <is>
          <t>농림지역</t>
        </is>
      </c>
      <c r="C286" s="3" t="inlineStr">
        <is>
          <t>답</t>
        </is>
      </c>
      <c r="D286" s="3" t="inlineStr">
        <is>
          <t>답</t>
        </is>
      </c>
      <c r="E286" s="3" t="inlineStr">
        <is>
          <t>매매</t>
        </is>
      </c>
      <c r="F286" s="4" t="n">
        <v>170000</v>
      </c>
      <c r="G286" s="4" t="n">
        <v>5088</v>
      </c>
      <c r="H286" s="4" t="n">
        <v>1539</v>
      </c>
      <c r="I286" s="5" t="n">
        <v>110.5</v>
      </c>
      <c r="J286" s="5" t="n">
        <v>55.5</v>
      </c>
      <c r="K286" s="3" t="inlineStr">
        <is>
          <t>오송3산단 배후지 및 토지거래허가 해제로 지가 상승중인 유망 투자지역</t>
        </is>
      </c>
      <c r="L286" s="6">
        <f>HYPERLINK("https://fin.land.naver.com/articles/2645068512", "매물Link")</f>
        <v/>
      </c>
      <c r="M286" s="6">
        <f>HYPERLINK("https://map.naver.com/p/search/오송읍 서평리 129", "지도Link")</f>
        <v/>
      </c>
      <c r="N286" s="6">
        <f>HYPERLINK("http://www.eum.go.kr/web/ar/lu/luLandDet.jsp?pnu=4311325030101290000&amp;isNoScr=script&amp;mode=search", "토지이음")</f>
        <v/>
      </c>
      <c r="O286" s="3" t="inlineStr">
        <is>
          <t>청주모충사모1/2LH트릴로채명성</t>
        </is>
      </c>
      <c r="P286" s="4" t="n">
        <v>1</v>
      </c>
      <c r="Q286" s="4" t="n">
        <v>4116</v>
      </c>
      <c r="R286" s="3" t="inlineStr">
        <is>
          <t>지정되지않음</t>
        </is>
      </c>
      <c r="S286" s="3" t="inlineStr">
        <is>
          <t>답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오송읍 서평리 131</t>
        </is>
      </c>
      <c r="B287" s="3" t="inlineStr">
        <is>
          <t>농림지역</t>
        </is>
      </c>
      <c r="C287" s="3" t="inlineStr">
        <is>
          <t>답</t>
        </is>
      </c>
      <c r="D287" s="3" t="inlineStr">
        <is>
          <t>답</t>
        </is>
      </c>
      <c r="E287" s="3" t="inlineStr">
        <is>
          <t>매매</t>
        </is>
      </c>
      <c r="F287" s="4" t="n">
        <v>140000</v>
      </c>
      <c r="G287" s="4" t="n">
        <v>4076</v>
      </c>
      <c r="H287" s="4" t="n">
        <v>1233</v>
      </c>
      <c r="I287" s="5" t="n">
        <v>113.5</v>
      </c>
      <c r="J287" s="5" t="n">
        <v>55.5</v>
      </c>
      <c r="K287" s="3" t="inlineStr">
        <is>
          <t>2차선 지방도변 농지로 오송3산업단지 인접지</t>
        </is>
      </c>
      <c r="L287" s="6">
        <f>HYPERLINK("https://fin.land.naver.com/articles/2646747475", "매물Link")</f>
        <v/>
      </c>
      <c r="M287" s="6">
        <f>HYPERLINK("https://map.naver.com/p/search/오송읍 서평리 131", "지도Link")</f>
        <v/>
      </c>
      <c r="N287" s="6">
        <f>HYPERLINK("http://www.eum.go.kr/web/ar/lu/luLandDet.jsp?pnu=4311325030101310000&amp;isNoScr=script&amp;mode=search", "토지이음")</f>
        <v/>
      </c>
      <c r="O287" s="3" t="inlineStr">
        <is>
          <t>오송k랜드</t>
        </is>
      </c>
      <c r="P287" s="4" t="n">
        <v>1</v>
      </c>
      <c r="Q287" s="4" t="n">
        <v>4076</v>
      </c>
      <c r="R287" s="3" t="inlineStr">
        <is>
          <t>지정되지않음</t>
        </is>
      </c>
      <c r="S287" s="3" t="inlineStr">
        <is>
          <t>답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오송읍 서평리 180-6</t>
        </is>
      </c>
      <c r="B288" s="3" t="inlineStr">
        <is>
          <t>농림지역</t>
        </is>
      </c>
      <c r="C288" s="3" t="inlineStr">
        <is>
          <t>창고용지</t>
        </is>
      </c>
      <c r="D288" s="3" t="inlineStr">
        <is>
          <t>창고용지</t>
        </is>
      </c>
      <c r="E288" s="3" t="inlineStr">
        <is>
          <t>매매</t>
        </is>
      </c>
      <c r="F288" s="4" t="n">
        <v>360000</v>
      </c>
      <c r="G288" s="4" t="n">
        <v>2866</v>
      </c>
      <c r="H288" s="4" t="n">
        <v>867</v>
      </c>
      <c r="I288" s="5" t="n">
        <v>415.2</v>
      </c>
      <c r="J288" s="5" t="n">
        <v>128.3</v>
      </c>
      <c r="K288" s="3" t="inlineStr">
        <is>
          <t>오송제3산업단지 도로변 토지</t>
        </is>
      </c>
      <c r="L288" s="6">
        <f>HYPERLINK("https://fin.land.naver.com/articles/2646007784", "매물Link")</f>
        <v/>
      </c>
      <c r="M288" s="6">
        <f>HYPERLINK("https://map.naver.com/p/search/오송읍 서평리 180-6", "지도Link")</f>
        <v/>
      </c>
      <c r="N288" s="6">
        <f>HYPERLINK("http://www.eum.go.kr/web/ar/lu/luLandDet.jsp?pnu=4311325030101800006&amp;isNoScr=script&amp;mode=search", "토지이음")</f>
        <v/>
      </c>
      <c r="O288" s="3" t="inlineStr">
        <is>
          <t>세종대박</t>
        </is>
      </c>
      <c r="P288" s="4" t="n">
        <v>1</v>
      </c>
      <c r="Q288" s="4" t="n">
        <v>769</v>
      </c>
      <c r="R288" s="3" t="inlineStr">
        <is>
          <t>지정되지않음</t>
        </is>
      </c>
      <c r="S288" s="3" t="inlineStr">
        <is>
          <t>답창고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광대로한면</t>
        </is>
      </c>
    </row>
    <row r="289">
      <c r="A289" s="3" t="inlineStr">
        <is>
          <t>오송읍 서평리 180-6</t>
        </is>
      </c>
      <c r="B289" s="3" t="inlineStr">
        <is>
          <t>농림지역</t>
        </is>
      </c>
      <c r="C289" s="3" t="inlineStr">
        <is>
          <t>창고용지</t>
        </is>
      </c>
      <c r="D289" s="3" t="inlineStr">
        <is>
          <t>답</t>
        </is>
      </c>
      <c r="E289" s="3" t="inlineStr">
        <is>
          <t>매매</t>
        </is>
      </c>
      <c r="F289" s="4" t="n">
        <v>360000</v>
      </c>
      <c r="G289" s="4" t="n">
        <v>2866</v>
      </c>
      <c r="H289" s="4" t="n">
        <v>867</v>
      </c>
      <c r="I289" s="5" t="n">
        <v>415.2</v>
      </c>
      <c r="J289" s="5" t="n">
        <v>128.3</v>
      </c>
      <c r="K289" s="3" t="inlineStr">
        <is>
          <t>매물 특징</t>
        </is>
      </c>
      <c r="L289" s="6">
        <f>HYPERLINK("https://fin.land.naver.com/articles/2647144879", "매물Link")</f>
        <v/>
      </c>
      <c r="M289" s="6">
        <f>HYPERLINK("https://map.naver.com/p/search/오송읍 서평리 180-6", "지도Link")</f>
        <v/>
      </c>
      <c r="N289" s="6">
        <f>HYPERLINK("http://www.eum.go.kr/web/ar/lu/luLandDet.jsp?pnu=4311325030101800006&amp;isNoScr=script&amp;mode=search", "토지이음")</f>
        <v/>
      </c>
      <c r="O289" s="3" t="inlineStr">
        <is>
          <t>오송궁평마을</t>
        </is>
      </c>
      <c r="P289" s="4" t="n">
        <v>1</v>
      </c>
      <c r="Q289" s="4" t="n">
        <v>769</v>
      </c>
      <c r="R289" s="3" t="inlineStr">
        <is>
          <t>지정되지않음</t>
        </is>
      </c>
      <c r="S289" s="3" t="inlineStr">
        <is>
          <t>답창고</t>
        </is>
      </c>
      <c r="T289" s="3" t="inlineStr">
        <is>
          <t>평지</t>
        </is>
      </c>
      <c r="U289" s="3" t="inlineStr">
        <is>
          <t>가로장방</t>
        </is>
      </c>
      <c r="V289" s="3" t="inlineStr">
        <is>
          <t>광대로한면</t>
        </is>
      </c>
    </row>
    <row r="290">
      <c r="A290" s="3" t="inlineStr">
        <is>
          <t>오송읍 서평리 182-5</t>
        </is>
      </c>
      <c r="B290" s="3" t="inlineStr">
        <is>
          <t>농림지역</t>
        </is>
      </c>
      <c r="C290" s="3" t="inlineStr">
        <is>
          <t>답</t>
        </is>
      </c>
      <c r="D290" s="3" t="inlineStr">
        <is>
          <t>답</t>
        </is>
      </c>
      <c r="E290" s="3" t="inlineStr">
        <is>
          <t>매매</t>
        </is>
      </c>
      <c r="F290" s="4" t="n">
        <v>79000</v>
      </c>
      <c r="G290" s="4" t="n">
        <v>3798</v>
      </c>
      <c r="H290" s="4" t="n">
        <v>1149</v>
      </c>
      <c r="I290" s="5" t="n">
        <v>68.8</v>
      </c>
      <c r="J290" s="5" t="n">
        <v>36.9</v>
      </c>
      <c r="K290" s="3" t="inlineStr">
        <is>
          <t>4m 도로 접, 3산단 수용지 인접 개발호재, 5차선대로까지 200m</t>
        </is>
      </c>
      <c r="L290" s="6">
        <f>HYPERLINK("https://fin.land.naver.com/articles/2648617098", "매물Link")</f>
        <v/>
      </c>
      <c r="M290" s="6">
        <f>HYPERLINK("https://map.naver.com/p/search/오송읍 서평리 182-5", "지도Link")</f>
        <v/>
      </c>
      <c r="N290" s="6">
        <f>HYPERLINK("http://www.eum.go.kr/web/ar/lu/luLandDet.jsp?pnu=4311325030101820005&amp;isNoScr=script&amp;mode=search", "토지이음")</f>
        <v/>
      </c>
      <c r="O290" s="3" t="inlineStr">
        <is>
          <t>오송3산단  사무소</t>
        </is>
      </c>
      <c r="P290" s="4" t="n">
        <v>1</v>
      </c>
      <c r="Q290" s="4" t="n">
        <v>3798</v>
      </c>
      <c r="R290" s="3" t="inlineStr">
        <is>
          <t>지정되지않음</t>
        </is>
      </c>
      <c r="S290" s="3" t="inlineStr">
        <is>
          <t>답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세로한면(가)</t>
        </is>
      </c>
    </row>
    <row r="291">
      <c r="A291" s="3" t="inlineStr">
        <is>
          <t>오송읍 서평리 189-4</t>
        </is>
      </c>
      <c r="B291" s="3" t="inlineStr">
        <is>
          <t>농림지역</t>
        </is>
      </c>
      <c r="C291" s="3" t="inlineStr">
        <is>
          <t>답</t>
        </is>
      </c>
      <c r="D291" s="3" t="inlineStr">
        <is>
          <t>답</t>
        </is>
      </c>
      <c r="E291" s="3" t="inlineStr">
        <is>
          <t>매매</t>
        </is>
      </c>
      <c r="F291" s="4" t="n">
        <v>85000</v>
      </c>
      <c r="G291" s="4" t="n">
        <v>2000</v>
      </c>
      <c r="H291" s="4" t="n">
        <v>605</v>
      </c>
      <c r="I291" s="5" t="n">
        <v>140.5</v>
      </c>
      <c r="J291" s="5" t="n">
        <v>37.3</v>
      </c>
      <c r="K291" s="3" t="inlineStr">
        <is>
          <t>제3생명과학 국가산단옆, 진입전면넓음, 7.5m도로,</t>
        </is>
      </c>
      <c r="L291" s="6">
        <f>HYPERLINK("https://fin.land.naver.com/articles/2646638287", "매물Link")</f>
        <v/>
      </c>
      <c r="M291" s="6">
        <f>HYPERLINK("https://map.naver.com/p/search/오송읍 서평리 189-4", "지도Link")</f>
        <v/>
      </c>
      <c r="N291" s="6">
        <f>HYPERLINK("http://www.eum.go.kr/web/ar/lu/luLandDet.jsp?pnu=4311325030101890004&amp;isNoScr=script&amp;mode=search", "토지이음")</f>
        <v/>
      </c>
      <c r="O291" s="3" t="inlineStr">
        <is>
          <t>오송부자마을</t>
        </is>
      </c>
      <c r="P291" s="4" t="n">
        <v>1</v>
      </c>
      <c r="Q291" s="4" t="n">
        <v>2000</v>
      </c>
      <c r="R291" s="3" t="inlineStr">
        <is>
          <t>지정되지않음</t>
        </is>
      </c>
      <c r="S291" s="3" t="inlineStr">
        <is>
          <t>답</t>
        </is>
      </c>
      <c r="T291" s="3" t="inlineStr">
        <is>
          <t>평지</t>
        </is>
      </c>
      <c r="U291" s="3" t="inlineStr">
        <is>
          <t>자루형</t>
        </is>
      </c>
      <c r="V291" s="3" t="inlineStr">
        <is>
          <t>세로한면(가)</t>
        </is>
      </c>
    </row>
    <row r="292">
      <c r="A292" s="3" t="inlineStr">
        <is>
          <t>오송읍 서평리 194-2</t>
        </is>
      </c>
      <c r="B292" s="3" t="inlineStr">
        <is>
          <t>농림지역</t>
        </is>
      </c>
      <c r="C292" s="3" t="inlineStr">
        <is>
          <t>답</t>
        </is>
      </c>
      <c r="D292" s="3" t="inlineStr">
        <is>
          <t>답</t>
        </is>
      </c>
      <c r="E292" s="3" t="inlineStr">
        <is>
          <t>매매</t>
        </is>
      </c>
      <c r="F292" s="4" t="n">
        <v>100000</v>
      </c>
      <c r="G292" s="4" t="n">
        <v>2182</v>
      </c>
      <c r="H292" s="4" t="n">
        <v>660</v>
      </c>
      <c r="I292" s="5" t="n">
        <v>151.5</v>
      </c>
      <c r="J292" s="5" t="n">
        <v>54.7</v>
      </c>
      <c r="K292" s="3" t="inlineStr">
        <is>
          <t>복숭아등 과일 노상 판매장용도 추천</t>
        </is>
      </c>
      <c r="L292" s="6">
        <f>HYPERLINK("https://fin.land.naver.com/articles/2649950268", "매물Link")</f>
        <v/>
      </c>
      <c r="M292" s="6">
        <f>HYPERLINK("https://map.naver.com/p/search/오송읍 서평리 194-2", "지도Link")</f>
        <v/>
      </c>
      <c r="N292" s="6">
        <f>HYPERLINK("http://www.eum.go.kr/web/ar/lu/luLandDet.jsp?pnu=4311325030101940002&amp;isNoScr=script&amp;mode=search", "토지이음")</f>
        <v/>
      </c>
      <c r="O292" s="3" t="inlineStr">
        <is>
          <t>오송k랜드</t>
        </is>
      </c>
      <c r="P292" s="4" t="n">
        <v>1</v>
      </c>
      <c r="Q292" s="4" t="n">
        <v>2182</v>
      </c>
      <c r="R292" s="3" t="inlineStr">
        <is>
          <t>지정되지않음</t>
        </is>
      </c>
      <c r="S292" s="3" t="inlineStr">
        <is>
          <t>답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오송읍 서평리 196-3</t>
        </is>
      </c>
      <c r="B293" s="3" t="inlineStr">
        <is>
          <t>농림지역</t>
        </is>
      </c>
      <c r="C293" s="3" t="inlineStr">
        <is>
          <t>답</t>
        </is>
      </c>
      <c r="D293" s="3" t="inlineStr">
        <is>
          <t>답</t>
        </is>
      </c>
      <c r="E293" s="3" t="inlineStr">
        <is>
          <t>매매</t>
        </is>
      </c>
      <c r="F293" s="4" t="n">
        <v>86000</v>
      </c>
      <c r="G293" s="4" t="n">
        <v>4205</v>
      </c>
      <c r="H293" s="4" t="n">
        <v>1272</v>
      </c>
      <c r="I293" s="5" t="n">
        <v>67.59999999999999</v>
      </c>
      <c r="J293" s="5" t="n">
        <v>54.7</v>
      </c>
      <c r="K293" s="3" t="inlineStr">
        <is>
          <t>오송3산단 배후지, 토지거해허가해제로 지가 상승 유망 투자지역</t>
        </is>
      </c>
      <c r="L293" s="6">
        <f>HYPERLINK("https://fin.land.naver.com/articles/2647661512", "매물Link")</f>
        <v/>
      </c>
      <c r="M293" s="6">
        <f>HYPERLINK("https://map.naver.com/p/search/오송읍 서평리 196-3", "지도Link")</f>
        <v/>
      </c>
      <c r="N293" s="6">
        <f>HYPERLINK("http://www.eum.go.kr/web/ar/lu/luLandDet.jsp?pnu=4311325030101960003&amp;isNoScr=script&amp;mode=search", "토지이음")</f>
        <v/>
      </c>
      <c r="O293" s="3" t="inlineStr">
        <is>
          <t>청주모충사모1/2LH트릴로채명성</t>
        </is>
      </c>
      <c r="P293" s="4" t="n">
        <v>2</v>
      </c>
      <c r="Q293" s="4" t="n">
        <v>2033</v>
      </c>
      <c r="R293" s="3" t="inlineStr">
        <is>
          <t>지정되지않음</t>
        </is>
      </c>
      <c r="S293" s="3" t="inlineStr">
        <is>
          <t>답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오송읍 서평리 210-1</t>
        </is>
      </c>
      <c r="B294" s="3" t="inlineStr">
        <is>
          <t>농림지역</t>
        </is>
      </c>
      <c r="C294" s="3" t="inlineStr">
        <is>
          <t>답</t>
        </is>
      </c>
      <c r="D294" s="3" t="inlineStr">
        <is>
          <t>답</t>
        </is>
      </c>
      <c r="E294" s="3" t="inlineStr">
        <is>
          <t>매매</t>
        </is>
      </c>
      <c r="F294" s="4" t="n">
        <v>44700</v>
      </c>
      <c r="G294" s="4" t="n">
        <v>1477</v>
      </c>
      <c r="H294" s="4" t="n">
        <v>447</v>
      </c>
      <c r="I294" s="5" t="n">
        <v>100</v>
      </c>
      <c r="J294" s="5" t="n">
        <v>54.7</v>
      </c>
      <c r="K294" s="3" t="inlineStr">
        <is>
          <t>nan</t>
        </is>
      </c>
      <c r="L294" s="6">
        <f>HYPERLINK("https://fin.land.naver.com/articles/2646609337", "매물Link")</f>
        <v/>
      </c>
      <c r="M294" s="6">
        <f>HYPERLINK("https://map.naver.com/p/search/오송읍 서평리 210-1", "지도Link")</f>
        <v/>
      </c>
      <c r="N294" s="6">
        <f>HYPERLINK("http://www.eum.go.kr/web/ar/lu/luLandDet.jsp?pnu=4311325030102100001&amp;isNoScr=script&amp;mode=search", "토지이음")</f>
        <v/>
      </c>
      <c r="O294" s="3" t="inlineStr">
        <is>
          <t>세종큰길</t>
        </is>
      </c>
      <c r="P294" s="4" t="n">
        <v>1</v>
      </c>
      <c r="Q294" s="4" t="n">
        <v>1373</v>
      </c>
      <c r="R294" s="3" t="inlineStr">
        <is>
          <t>지정되지않음</t>
        </is>
      </c>
      <c r="S294" s="3" t="inlineStr">
        <is>
          <t>답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오송읍 서평리 214-10</t>
        </is>
      </c>
      <c r="B295" s="3" t="inlineStr">
        <is>
          <t>농림지역</t>
        </is>
      </c>
      <c r="C295" s="3" t="inlineStr">
        <is>
          <t>과수원</t>
        </is>
      </c>
      <c r="D295" s="3" t="inlineStr">
        <is>
          <t>과수원</t>
        </is>
      </c>
      <c r="E295" s="3" t="inlineStr">
        <is>
          <t>매매</t>
        </is>
      </c>
      <c r="F295" s="4" t="n">
        <v>198720</v>
      </c>
      <c r="G295" s="4" t="n">
        <v>4564</v>
      </c>
      <c r="H295" s="4" t="n">
        <v>1381</v>
      </c>
      <c r="I295" s="5" t="n">
        <v>143.9</v>
      </c>
      <c r="J295" s="5" t="n">
        <v>54.7</v>
      </c>
      <c r="K295" s="3" t="inlineStr">
        <is>
          <t>오송3산단 배후지, 토지거래허가 해제로 대토용지로 지가상승 유망 투자지역</t>
        </is>
      </c>
      <c r="L295" s="6">
        <f>HYPERLINK("https://fin.land.naver.com/articles/2650412996", "매물Link")</f>
        <v/>
      </c>
      <c r="M295" s="6">
        <f>HYPERLINK("https://map.naver.com/p/search/오송읍 서평리 214-10", "지도Link")</f>
        <v/>
      </c>
      <c r="N295" s="6">
        <f>HYPERLINK("http://www.eum.go.kr/web/ar/lu/luLandDet.jsp?pnu=4311325030102140010&amp;isNoScr=script&amp;mode=search", "토지이음")</f>
        <v/>
      </c>
      <c r="O295" s="3" t="inlineStr">
        <is>
          <t>청주모충사모1/2LH트릴로채명성</t>
        </is>
      </c>
      <c r="P295" s="4" t="n">
        <v>1</v>
      </c>
      <c r="Q295" s="4" t="n">
        <v>4213</v>
      </c>
      <c r="R295" s="3" t="inlineStr">
        <is>
          <t>지정되지않음</t>
        </is>
      </c>
      <c r="S295" s="3" t="inlineStr">
        <is>
          <t>과수원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소로한면</t>
        </is>
      </c>
    </row>
    <row r="296">
      <c r="A296" s="3" t="inlineStr">
        <is>
          <t>오송읍 서평리 219-30</t>
        </is>
      </c>
      <c r="B296" s="3" t="inlineStr">
        <is>
          <t>농림지역</t>
        </is>
      </c>
      <c r="C296" s="3" t="inlineStr">
        <is>
          <t>전</t>
        </is>
      </c>
      <c r="D296" s="3" t="inlineStr">
        <is>
          <t>전</t>
        </is>
      </c>
      <c r="E296" s="3" t="inlineStr">
        <is>
          <t>매매</t>
        </is>
      </c>
      <c r="F296" s="4" t="n">
        <v>41500</v>
      </c>
      <c r="G296" s="4" t="n">
        <v>2648</v>
      </c>
      <c r="H296" s="4" t="n">
        <v>801</v>
      </c>
      <c r="I296" s="5" t="n">
        <v>51.8</v>
      </c>
      <c r="J296" s="5" t="n">
        <v>35.5</v>
      </c>
      <c r="K296" s="3" t="inlineStr">
        <is>
          <t>파격가 급매물, 오송3산단 호재있는 투자용 물건, 하우스 6동 포함</t>
        </is>
      </c>
      <c r="L296" s="6">
        <f>HYPERLINK("https://fin.land.naver.com/articles/2648088489", "매물Link")</f>
        <v/>
      </c>
      <c r="M296" s="6">
        <f>HYPERLINK("https://map.naver.com/p/search/오송읍 서평리 219-30", "지도Link")</f>
        <v/>
      </c>
      <c r="N296" s="6">
        <f>HYPERLINK("http://www.eum.go.kr/web/ar/lu/luLandDet.jsp?pnu=4311325030102190030&amp;isNoScr=script&amp;mode=search", "토지이음")</f>
        <v/>
      </c>
      <c r="O296" s="3" t="inlineStr">
        <is>
          <t>오송3산단  사무소</t>
        </is>
      </c>
      <c r="P296" s="4" t="n">
        <v>1</v>
      </c>
      <c r="Q296" s="4" t="n">
        <v>2648</v>
      </c>
      <c r="R296" s="3" t="inlineStr">
        <is>
          <t>지정되지않음</t>
        </is>
      </c>
      <c r="S296" s="3" t="inlineStr">
        <is>
          <t>전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세로한면(가)</t>
        </is>
      </c>
    </row>
    <row r="297">
      <c r="A297" s="3" t="inlineStr">
        <is>
          <t>오송읍 서평리 281-1</t>
        </is>
      </c>
      <c r="B297" s="3" t="inlineStr">
        <is>
          <t>농림지역</t>
        </is>
      </c>
      <c r="C297" s="3" t="inlineStr">
        <is>
          <t>답</t>
        </is>
      </c>
      <c r="D297" s="3" t="inlineStr">
        <is>
          <t>답</t>
        </is>
      </c>
      <c r="E297" s="3" t="inlineStr">
        <is>
          <t>매매</t>
        </is>
      </c>
      <c r="F297" s="4" t="n">
        <v>105000</v>
      </c>
      <c r="G297" s="4" t="n">
        <v>2827</v>
      </c>
      <c r="H297" s="4" t="n">
        <v>855</v>
      </c>
      <c r="I297" s="5" t="n">
        <v>122.8</v>
      </c>
      <c r="J297" s="5" t="n">
        <v>29.5</v>
      </c>
      <c r="K297" s="3" t="inlineStr">
        <is>
          <t>하우스시설이 완비된 토지,주변 토지와 일괄 매매</t>
        </is>
      </c>
      <c r="L297" s="6">
        <f>HYPERLINK("https://fin.land.naver.com/articles/2648013053", "매물Link")</f>
        <v/>
      </c>
      <c r="M297" s="6">
        <f>HYPERLINK("https://map.naver.com/p/search/오송읍 서평리 281-1", "지도Link")</f>
        <v/>
      </c>
      <c r="N297" s="6">
        <f>HYPERLINK("http://www.eum.go.kr/web/ar/lu/luLandDet.jsp?pnu=4311325030102810001&amp;isNoScr=script&amp;mode=search", "토지이음")</f>
        <v/>
      </c>
      <c r="O297" s="3" t="inlineStr">
        <is>
          <t>오송2단지창조</t>
        </is>
      </c>
      <c r="P297" s="4" t="n">
        <v>1</v>
      </c>
      <c r="Q297" s="4" t="n">
        <v>2827</v>
      </c>
      <c r="R297" s="3" t="inlineStr">
        <is>
          <t>지정되지않음</t>
        </is>
      </c>
      <c r="S297" s="3" t="inlineStr">
        <is>
          <t>답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세로한면(가)</t>
        </is>
      </c>
    </row>
    <row r="298">
      <c r="A298" s="3" t="inlineStr">
        <is>
          <t>오송읍 서평리 296-4</t>
        </is>
      </c>
      <c r="B298" s="3" t="inlineStr">
        <is>
          <t>농림지역</t>
        </is>
      </c>
      <c r="C298" s="3" t="inlineStr">
        <is>
          <t>답</t>
        </is>
      </c>
      <c r="D298" s="3" t="inlineStr">
        <is>
          <t>답</t>
        </is>
      </c>
      <c r="E298" s="3" t="inlineStr">
        <is>
          <t>매매</t>
        </is>
      </c>
      <c r="F298" s="4" t="n">
        <v>40000</v>
      </c>
      <c r="G298" s="4" t="n">
        <v>2340</v>
      </c>
      <c r="H298" s="4" t="n">
        <v>708</v>
      </c>
      <c r="I298" s="5" t="n">
        <v>56.5</v>
      </c>
      <c r="J298" s="5" t="n">
        <v>29.5</v>
      </c>
      <c r="K298" s="3" t="inlineStr">
        <is>
          <t>오송 3산단 인근, 투자용</t>
        </is>
      </c>
      <c r="L298" s="6">
        <f>HYPERLINK("https://fin.land.naver.com/articles/2646724001", "매물Link")</f>
        <v/>
      </c>
      <c r="M298" s="6">
        <f>HYPERLINK("https://map.naver.com/p/search/오송읍 서평리 296-4", "지도Link")</f>
        <v/>
      </c>
      <c r="N298" s="6">
        <f>HYPERLINK("http://www.eum.go.kr/web/ar/lu/luLandDet.jsp?pnu=4311325030102960004&amp;isNoScr=script&amp;mode=search", "토지이음")</f>
        <v/>
      </c>
      <c r="O298" s="3" t="inlineStr">
        <is>
          <t>오송타운</t>
        </is>
      </c>
      <c r="P298" s="4" t="n">
        <v>1</v>
      </c>
      <c r="Q298" s="4" t="n">
        <v>2340</v>
      </c>
      <c r="R298" s="3" t="inlineStr">
        <is>
          <t>지정되지않음</t>
        </is>
      </c>
      <c r="S298" s="3" t="inlineStr">
        <is>
          <t>답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세로한면(가)</t>
        </is>
      </c>
    </row>
    <row r="299">
      <c r="A299" s="3" t="inlineStr">
        <is>
          <t>오송읍 서평리 296-4</t>
        </is>
      </c>
      <c r="B299" s="3" t="inlineStr">
        <is>
          <t>농림지역</t>
        </is>
      </c>
      <c r="C299" s="3" t="inlineStr">
        <is>
          <t>답</t>
        </is>
      </c>
      <c r="D299" s="3" t="inlineStr">
        <is>
          <t>답</t>
        </is>
      </c>
      <c r="E299" s="3" t="inlineStr">
        <is>
          <t>매매</t>
        </is>
      </c>
      <c r="F299" s="4" t="n">
        <v>43000</v>
      </c>
      <c r="G299" s="4" t="n">
        <v>2340</v>
      </c>
      <c r="H299" s="4" t="n">
        <v>708</v>
      </c>
      <c r="I299" s="5" t="n">
        <v>60.7</v>
      </c>
      <c r="J299" s="5" t="n">
        <v>29.5</v>
      </c>
      <c r="K299" s="3" t="inlineStr">
        <is>
          <t>오송3산업단지 공용수용지 인근가격대비 최적의 대토 투자용 토지임</t>
        </is>
      </c>
      <c r="L299" s="6">
        <f>HYPERLINK("https://fin.land.naver.com/articles/2645221824", "매물Link")</f>
        <v/>
      </c>
      <c r="M299" s="6">
        <f>HYPERLINK("https://map.naver.com/p/search/오송읍 서평리 296-4", "지도Link")</f>
        <v/>
      </c>
      <c r="N299" s="6">
        <f>HYPERLINK("http://www.eum.go.kr/web/ar/lu/luLandDet.jsp?pnu=4311325030102960004&amp;isNoScr=script&amp;mode=search", "토지이음")</f>
        <v/>
      </c>
      <c r="O299" s="3" t="inlineStr">
        <is>
          <t>오송k랜드</t>
        </is>
      </c>
      <c r="P299" s="4" t="n">
        <v>1</v>
      </c>
      <c r="Q299" s="4" t="n">
        <v>2340</v>
      </c>
      <c r="R299" s="3" t="inlineStr">
        <is>
          <t>지정되지않음</t>
        </is>
      </c>
      <c r="S299" s="3" t="inlineStr">
        <is>
          <t>답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세로한면(가)</t>
        </is>
      </c>
    </row>
    <row r="300">
      <c r="A300" s="3" t="inlineStr">
        <is>
          <t>오송읍 서평리 354-1</t>
        </is>
      </c>
      <c r="B300" s="3" t="inlineStr">
        <is>
          <t>농림지역</t>
        </is>
      </c>
      <c r="C300" s="3" t="inlineStr">
        <is>
          <t>답</t>
        </is>
      </c>
      <c r="D300" s="3" t="inlineStr">
        <is>
          <t>답</t>
        </is>
      </c>
      <c r="E300" s="3" t="inlineStr">
        <is>
          <t>매매</t>
        </is>
      </c>
      <c r="F300" s="4" t="n">
        <v>96000</v>
      </c>
      <c r="G300" s="4" t="n">
        <v>3507</v>
      </c>
      <c r="H300" s="4" t="n">
        <v>1061</v>
      </c>
      <c r="I300" s="5" t="n">
        <v>90.5</v>
      </c>
      <c r="J300" s="5" t="n">
        <v>41.7</v>
      </c>
      <c r="K300" s="3" t="inlineStr">
        <is>
          <t>오송3산업단지 수용지 인근 투자</t>
        </is>
      </c>
      <c r="L300" s="6">
        <f>HYPERLINK("https://fin.land.naver.com/articles/2648237005", "매물Link")</f>
        <v/>
      </c>
      <c r="M300" s="6">
        <f>HYPERLINK("https://map.naver.com/p/search/오송읍 서평리 354-1", "지도Link")</f>
        <v/>
      </c>
      <c r="N300" s="6">
        <f>HYPERLINK("http://www.eum.go.kr/web/ar/lu/luLandDet.jsp?pnu=4311325030103540001&amp;isNoScr=script&amp;mode=search", "토지이음")</f>
        <v/>
      </c>
      <c r="O300" s="3" t="inlineStr">
        <is>
          <t>오송k랜드</t>
        </is>
      </c>
      <c r="P300" s="4" t="n">
        <v>1</v>
      </c>
      <c r="Q300" s="4" t="n">
        <v>2466</v>
      </c>
      <c r="R300" s="3" t="inlineStr">
        <is>
          <t>지정되지않음</t>
        </is>
      </c>
      <c r="S300" s="3" t="inlineStr">
        <is>
          <t>답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오송읍 서평리 356</t>
        </is>
      </c>
      <c r="B301" s="3" t="inlineStr">
        <is>
          <t>농림지역</t>
        </is>
      </c>
      <c r="C301" s="3" t="inlineStr">
        <is>
          <t>창고용지</t>
        </is>
      </c>
      <c r="D301" s="3" t="inlineStr">
        <is>
          <t>창고용지</t>
        </is>
      </c>
      <c r="E301" s="3" t="inlineStr">
        <is>
          <t>매매</t>
        </is>
      </c>
      <c r="F301" s="4" t="n">
        <v>120000</v>
      </c>
      <c r="G301" s="4" t="n">
        <v>2423</v>
      </c>
      <c r="H301" s="4" t="n">
        <v>733</v>
      </c>
      <c r="I301" s="5" t="n">
        <v>163.7</v>
      </c>
      <c r="J301" s="5" t="n">
        <v>49.6</v>
      </c>
      <c r="K301" s="3" t="inlineStr">
        <is>
          <t>오송3산단예정지인근 2차선변 농업용창고,부분거래가능</t>
        </is>
      </c>
      <c r="L301" s="6">
        <f>HYPERLINK("https://fin.land.naver.com/articles/2650475978", "매물Link")</f>
        <v/>
      </c>
      <c r="M301" s="6">
        <f>HYPERLINK("https://map.naver.com/p/search/오송읍 서평리 356", "지도Link")</f>
        <v/>
      </c>
      <c r="N301" s="6">
        <f>HYPERLINK("http://www.eum.go.kr/web/ar/lu/luLandDet.jsp?pnu=4311325030103560000&amp;isNoScr=script&amp;mode=search", "토지이음")</f>
        <v/>
      </c>
      <c r="O301" s="3" t="inlineStr">
        <is>
          <t>가치잇는</t>
        </is>
      </c>
      <c r="P301" s="4" t="n">
        <v>3</v>
      </c>
      <c r="Q301" s="4" t="n">
        <v>900</v>
      </c>
      <c r="R301" s="3" t="inlineStr">
        <is>
          <t>지정되지않음</t>
        </is>
      </c>
      <c r="S301" s="3" t="inlineStr">
        <is>
          <t>답창고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소로한면</t>
        </is>
      </c>
    </row>
    <row r="302">
      <c r="A302" s="3" t="inlineStr">
        <is>
          <t>오송읍 서평리 381-8</t>
        </is>
      </c>
      <c r="B302" s="3" t="inlineStr">
        <is>
          <t>생산관리지역</t>
        </is>
      </c>
      <c r="C302" s="3" t="inlineStr">
        <is>
          <t>전</t>
        </is>
      </c>
      <c r="D302" s="3" t="inlineStr">
        <is>
          <t>전</t>
        </is>
      </c>
      <c r="E302" s="3" t="inlineStr">
        <is>
          <t>매매</t>
        </is>
      </c>
      <c r="F302" s="4" t="n">
        <v>124000</v>
      </c>
      <c r="G302" s="4" t="n">
        <v>4100</v>
      </c>
      <c r="H302" s="4" t="n">
        <v>1240</v>
      </c>
      <c r="I302" s="5" t="n">
        <v>100</v>
      </c>
      <c r="J302" s="5" t="n">
        <v>39.1</v>
      </c>
      <c r="K302" s="3" t="inlineStr">
        <is>
          <t>nan</t>
        </is>
      </c>
      <c r="L302" s="6">
        <f>HYPERLINK("https://fin.land.naver.com/articles/2645907513", "매물Link")</f>
        <v/>
      </c>
      <c r="M302" s="6">
        <f>HYPERLINK("https://map.naver.com/p/search/오송읍 서평리 381-8", "지도Link")</f>
        <v/>
      </c>
      <c r="N302" s="6">
        <f>HYPERLINK("http://www.eum.go.kr/web/ar/lu/luLandDet.jsp?pnu=4311325030103810008&amp;isNoScr=script&amp;mode=search", "토지이음")</f>
        <v/>
      </c>
      <c r="O302" s="3" t="inlineStr">
        <is>
          <t>세종땅전문</t>
        </is>
      </c>
      <c r="P302" s="4" t="n">
        <v>1</v>
      </c>
      <c r="Q302" s="4" t="n">
        <v>4100</v>
      </c>
      <c r="R302" s="3" t="inlineStr">
        <is>
          <t>지정되지않음</t>
        </is>
      </c>
      <c r="S302" s="3" t="inlineStr">
        <is>
          <t>전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세로한면(불)</t>
        </is>
      </c>
    </row>
    <row r="303">
      <c r="A303" s="3" t="inlineStr">
        <is>
          <t>오송읍 서평리 56-9</t>
        </is>
      </c>
      <c r="B303" s="3" t="inlineStr">
        <is>
          <t>계획관리지역</t>
        </is>
      </c>
      <c r="C303" s="3" t="inlineStr">
        <is>
          <t>전</t>
        </is>
      </c>
      <c r="D303" s="3" t="inlineStr">
        <is>
          <t>전</t>
        </is>
      </c>
      <c r="E303" s="3" t="inlineStr">
        <is>
          <t>매매</t>
        </is>
      </c>
      <c r="F303" s="4" t="n">
        <v>57400</v>
      </c>
      <c r="G303" s="4" t="n">
        <v>542</v>
      </c>
      <c r="H303" s="4" t="n">
        <v>164</v>
      </c>
      <c r="I303" s="5" t="n">
        <v>350</v>
      </c>
      <c r="J303" s="5" t="n">
        <v>195.9</v>
      </c>
      <c r="K303" s="3" t="inlineStr">
        <is>
          <t>오송읍 서평리 주거개발진흥지구내 다가구 .상가.상가주택등 신축 추천</t>
        </is>
      </c>
      <c r="L303" s="6">
        <f>HYPERLINK("https://fin.land.naver.com/articles/2649339502", "매물Link")</f>
        <v/>
      </c>
      <c r="M303" s="6">
        <f>HYPERLINK("https://map.naver.com/p/search/오송읍 서평리 56-9", "지도Link")</f>
        <v/>
      </c>
      <c r="N303" s="6">
        <f>HYPERLINK("http://www.eum.go.kr/web/ar/lu/luLandDet.jsp?pnu=4311325030100560009&amp;isNoScr=script&amp;mode=search", "토지이음")</f>
        <v/>
      </c>
      <c r="O303" s="3" t="inlineStr">
        <is>
          <t>그린</t>
        </is>
      </c>
      <c r="P303" s="4" t="n">
        <v>1</v>
      </c>
      <c r="Q303" s="4" t="n">
        <v>542</v>
      </c>
      <c r="R303" s="3" t="inlineStr">
        <is>
          <t>지정되지않음</t>
        </is>
      </c>
      <c r="S303" s="3" t="inlineStr">
        <is>
          <t>주상기타</t>
        </is>
      </c>
      <c r="T303" s="3" t="inlineStr">
        <is>
          <t>평지</t>
        </is>
      </c>
      <c r="U303" s="3" t="inlineStr">
        <is>
          <t>부정형</t>
        </is>
      </c>
      <c r="V303" s="3" t="inlineStr">
        <is>
          <t>중로한면</t>
        </is>
      </c>
    </row>
    <row r="304">
      <c r="A304" s="3" t="inlineStr">
        <is>
          <t>오송읍 서평리 664-54</t>
        </is>
      </c>
      <c r="B304" s="3" t="inlineStr">
        <is>
          <t>생산관리지역</t>
        </is>
      </c>
      <c r="C304" s="3" t="inlineStr">
        <is>
          <t>전</t>
        </is>
      </c>
      <c r="D304" s="3" t="inlineStr">
        <is>
          <t>전</t>
        </is>
      </c>
      <c r="E304" s="3" t="inlineStr">
        <is>
          <t>매매</t>
        </is>
      </c>
      <c r="F304" s="4" t="n">
        <v>52000</v>
      </c>
      <c r="G304" s="4" t="n">
        <v>625</v>
      </c>
      <c r="H304" s="4" t="n">
        <v>189</v>
      </c>
      <c r="I304" s="5" t="n">
        <v>275.1</v>
      </c>
      <c r="J304" s="5" t="n">
        <v>49</v>
      </c>
      <c r="K304" s="3" t="inlineStr">
        <is>
          <t>건축중인 토지관리지역</t>
        </is>
      </c>
      <c r="L304" s="6">
        <f>HYPERLINK("https://fin.land.naver.com/articles/2646729509", "매물Link")</f>
        <v/>
      </c>
      <c r="M304" s="6">
        <f>HYPERLINK("https://map.naver.com/p/search/오송읍 서평리 664-54", "지도Link")</f>
        <v/>
      </c>
      <c r="N304" s="6">
        <f>HYPERLINK("http://www.eum.go.kr/web/ar/lu/luLandDet.jsp?pnu=4311325030106640054&amp;isNoScr=script&amp;mode=search", "토지이음")</f>
        <v/>
      </c>
      <c r="O304" s="3" t="inlineStr">
        <is>
          <t>오송타운</t>
        </is>
      </c>
      <c r="P304" s="4" t="n">
        <v>1</v>
      </c>
      <c r="Q304" s="4" t="n">
        <v>625</v>
      </c>
      <c r="R304" s="3" t="inlineStr">
        <is>
          <t>지정되지않음</t>
        </is>
      </c>
      <c r="S304" s="3" t="inlineStr">
        <is>
          <t>전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오송읍 서평리 88-1</t>
        </is>
      </c>
      <c r="B305" s="3" t="inlineStr">
        <is>
          <t>농림지역</t>
        </is>
      </c>
      <c r="C305" s="3" t="inlineStr">
        <is>
          <t>전</t>
        </is>
      </c>
      <c r="D305" s="3" t="inlineStr">
        <is>
          <t>전</t>
        </is>
      </c>
      <c r="E305" s="3" t="inlineStr">
        <is>
          <t>매매</t>
        </is>
      </c>
      <c r="F305" s="4" t="n">
        <v>39000</v>
      </c>
      <c r="G305" s="4" t="n">
        <v>1289</v>
      </c>
      <c r="H305" s="4" t="n">
        <v>390</v>
      </c>
      <c r="I305" s="5" t="n">
        <v>100</v>
      </c>
      <c r="J305" s="5" t="n">
        <v>38.8</v>
      </c>
      <c r="K305" s="3" t="inlineStr">
        <is>
          <t>농사짓기 좋은 우량 농지 매매</t>
        </is>
      </c>
      <c r="L305" s="6">
        <f>HYPERLINK("https://fin.land.naver.com/articles/2648014715", "매물Link")</f>
        <v/>
      </c>
      <c r="M305" s="6">
        <f>HYPERLINK("https://map.naver.com/p/search/오송읍 서평리 88-1", "지도Link")</f>
        <v/>
      </c>
      <c r="N305" s="6">
        <f>HYPERLINK("http://www.eum.go.kr/web/ar/lu/luLandDet.jsp?pnu=4311325030100880001&amp;isNoScr=script&amp;mode=search", "토지이음")</f>
        <v/>
      </c>
      <c r="O305" s="3" t="inlineStr">
        <is>
          <t>오송2단지창조</t>
        </is>
      </c>
      <c r="P305" s="4" t="n">
        <v>1</v>
      </c>
      <c r="Q305" s="4" t="n">
        <v>1289</v>
      </c>
      <c r="R305" s="3" t="inlineStr">
        <is>
          <t>지정되지않음</t>
        </is>
      </c>
      <c r="S305" s="3" t="inlineStr">
        <is>
          <t>답</t>
        </is>
      </c>
      <c r="T305" s="3" t="inlineStr">
        <is>
          <t>평지</t>
        </is>
      </c>
      <c r="U305" s="3" t="inlineStr">
        <is>
          <t>가로장방</t>
        </is>
      </c>
      <c r="V305" s="3" t="inlineStr">
        <is>
          <t>세로각지(가)</t>
        </is>
      </c>
    </row>
    <row r="306">
      <c r="A306" s="3" t="inlineStr">
        <is>
          <t>오송읍 서평리 88-2</t>
        </is>
      </c>
      <c r="B306" s="3" t="inlineStr">
        <is>
          <t>농림지역</t>
        </is>
      </c>
      <c r="C306" s="3" t="inlineStr">
        <is>
          <t>전</t>
        </is>
      </c>
      <c r="D306" s="3" t="inlineStr">
        <is>
          <t>전</t>
        </is>
      </c>
      <c r="E306" s="3" t="inlineStr">
        <is>
          <t>매매</t>
        </is>
      </c>
      <c r="F306" s="4" t="n">
        <v>80700</v>
      </c>
      <c r="G306" s="4" t="n">
        <v>2668</v>
      </c>
      <c r="H306" s="4" t="n">
        <v>807</v>
      </c>
      <c r="I306" s="5" t="n">
        <v>100</v>
      </c>
      <c r="J306" s="5" t="n">
        <v>37.3</v>
      </c>
      <c r="K306" s="3" t="inlineStr">
        <is>
          <t>경지정리 완료 농기계 진입 편리, 바로 농사 가능한 우량 농지 매매</t>
        </is>
      </c>
      <c r="L306" s="6">
        <f>HYPERLINK("https://fin.land.naver.com/articles/2648014585", "매물Link")</f>
        <v/>
      </c>
      <c r="M306" s="6">
        <f>HYPERLINK("https://map.naver.com/p/search/오송읍 서평리 88-2", "지도Link")</f>
        <v/>
      </c>
      <c r="N306" s="6">
        <f>HYPERLINK("http://www.eum.go.kr/web/ar/lu/luLandDet.jsp?pnu=4311325030100880002&amp;isNoScr=script&amp;mode=search", "토지이음")</f>
        <v/>
      </c>
      <c r="O306" s="3" t="inlineStr">
        <is>
          <t>오송2단지창조</t>
        </is>
      </c>
      <c r="P306" s="4" t="n">
        <v>1</v>
      </c>
      <c r="Q306" s="4" t="n">
        <v>2668</v>
      </c>
      <c r="R306" s="3" t="inlineStr">
        <is>
          <t>지정되지않음</t>
        </is>
      </c>
      <c r="S306" s="3" t="inlineStr">
        <is>
          <t>답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세로한면(가)</t>
        </is>
      </c>
    </row>
    <row r="307">
      <c r="A307" s="3" t="inlineStr">
        <is>
          <t>오송읍 서평리 94-2</t>
        </is>
      </c>
      <c r="B307" s="3" t="inlineStr">
        <is>
          <t>농림지역</t>
        </is>
      </c>
      <c r="C307" s="3" t="inlineStr">
        <is>
          <t>답</t>
        </is>
      </c>
      <c r="D307" s="3" t="inlineStr">
        <is>
          <t>답</t>
        </is>
      </c>
      <c r="E307" s="3" t="inlineStr">
        <is>
          <t>매매</t>
        </is>
      </c>
      <c r="F307" s="4" t="n">
        <v>57300</v>
      </c>
      <c r="G307" s="4" t="n">
        <v>1975</v>
      </c>
      <c r="H307" s="4" t="n">
        <v>597</v>
      </c>
      <c r="I307" s="5" t="n">
        <v>96</v>
      </c>
      <c r="J307" s="5" t="n">
        <v>54.7</v>
      </c>
      <c r="K307" s="3" t="inlineStr">
        <is>
          <t>오송제3산업단지(27.하반기 보상예정)인접하고 4차로 확장예정도로접함.</t>
        </is>
      </c>
      <c r="L307" s="6">
        <f>HYPERLINK("https://fin.land.naver.com/articles/2650557460", "매물Link")</f>
        <v/>
      </c>
      <c r="M307" s="6">
        <f>HYPERLINK("https://map.naver.com/p/search/오송읍 서평리 94-2", "지도Link")</f>
        <v/>
      </c>
      <c r="N307" s="6">
        <f>HYPERLINK("http://www.eum.go.kr/web/ar/lu/luLandDet.jsp?pnu=4311325030100940002&amp;isNoScr=script&amp;mode=search", "토지이음")</f>
        <v/>
      </c>
      <c r="O307" s="3" t="inlineStr">
        <is>
          <t>오송k랜드</t>
        </is>
      </c>
      <c r="P307" s="4" t="n">
        <v>1</v>
      </c>
      <c r="Q307" s="4" t="n">
        <v>1975</v>
      </c>
      <c r="R307" s="3" t="inlineStr">
        <is>
          <t>지정되지않음</t>
        </is>
      </c>
      <c r="S307" s="3" t="inlineStr">
        <is>
          <t>답</t>
        </is>
      </c>
      <c r="T307" s="3" t="inlineStr">
        <is>
          <t>평지</t>
        </is>
      </c>
      <c r="U307" s="3" t="inlineStr">
        <is>
          <t>가로장방</t>
        </is>
      </c>
      <c r="V307" s="3" t="inlineStr">
        <is>
          <t>소로한면</t>
        </is>
      </c>
    </row>
    <row r="308">
      <c r="A308" s="3" t="inlineStr">
        <is>
          <t>오송읍 쌍청리 108-1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공장용지</t>
        </is>
      </c>
      <c r="E308" s="3" t="inlineStr">
        <is>
          <t>매매</t>
        </is>
      </c>
      <c r="F308" s="4" t="n">
        <v>145000</v>
      </c>
      <c r="G308" s="4" t="n">
        <v>2382</v>
      </c>
      <c r="H308" s="4" t="n">
        <v>721</v>
      </c>
      <c r="I308" s="5" t="n">
        <v>201.1</v>
      </c>
      <c r="J308" s="5" t="n">
        <v>70.09999999999999</v>
      </c>
      <c r="K308" s="3" t="inlineStr">
        <is>
          <t>nan</t>
        </is>
      </c>
      <c r="L308" s="6">
        <f>HYPERLINK("https://fin.land.naver.com/articles/2645419745", "매물Link")</f>
        <v/>
      </c>
      <c r="M308" s="6">
        <f>HYPERLINK("https://map.naver.com/p/search/오송읍 쌍청리 108-1", "지도Link")</f>
        <v/>
      </c>
      <c r="N308" s="6">
        <f>HYPERLINK("http://www.eum.go.kr/web/ar/lu/luLandDet.jsp?pnu=4311325024101080001&amp;isNoScr=script&amp;mode=search", "토지이음")</f>
        <v/>
      </c>
      <c r="O308" s="3" t="inlineStr">
        <is>
          <t>세종큰길</t>
        </is>
      </c>
      <c r="P308" s="4" t="n">
        <v>1</v>
      </c>
      <c r="Q308" s="4" t="n">
        <v>456</v>
      </c>
      <c r="R308" s="3" t="inlineStr">
        <is>
          <t>지정되지않음</t>
        </is>
      </c>
      <c r="S308" s="3" t="inlineStr">
        <is>
          <t>공업용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세로한면(가)</t>
        </is>
      </c>
    </row>
    <row r="309">
      <c r="A309" s="3" t="inlineStr">
        <is>
          <t>오송읍 쌍청리 108-31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공장용지</t>
        </is>
      </c>
      <c r="E309" s="3" t="inlineStr">
        <is>
          <t>매매</t>
        </is>
      </c>
      <c r="F309" s="4" t="n">
        <v>30800</v>
      </c>
      <c r="G309" s="4" t="n">
        <v>566</v>
      </c>
      <c r="H309" s="4" t="n">
        <v>171</v>
      </c>
      <c r="I309" s="5" t="n">
        <v>180.1</v>
      </c>
      <c r="J309" s="5" t="n">
        <v>61</v>
      </c>
      <c r="K309" s="3" t="inlineStr">
        <is>
          <t>접근성 좋은 토지,활용하기 좋은 토지 입니다</t>
        </is>
      </c>
      <c r="L309" s="6">
        <f>HYPERLINK("https://fin.land.naver.com/articles/2645971921", "매물Link")</f>
        <v/>
      </c>
      <c r="M309" s="6">
        <f>HYPERLINK("https://map.naver.com/p/search/오송읍 쌍청리 108-31", "지도Link")</f>
        <v/>
      </c>
      <c r="N309" s="6">
        <f>HYPERLINK("http://www.eum.go.kr/web/ar/lu/luLandDet.jsp?pnu=4311325024101080031&amp;isNoScr=script&amp;mode=search", "토지이음")</f>
        <v/>
      </c>
      <c r="O309" s="3" t="inlineStr">
        <is>
          <t>오송2단지창조</t>
        </is>
      </c>
      <c r="P309" s="4" t="n">
        <v>1</v>
      </c>
      <c r="Q309" s="4" t="n">
        <v>566</v>
      </c>
      <c r="R309" s="3" t="inlineStr">
        <is>
          <t>지정되지않음</t>
        </is>
      </c>
      <c r="S309" s="3" t="inlineStr">
        <is>
          <t>공업나지</t>
        </is>
      </c>
      <c r="T309" s="3" t="inlineStr">
        <is>
          <t>완경사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오송읍 쌍청리 117-16</t>
        </is>
      </c>
      <c r="B310" s="3" t="inlineStr">
        <is>
          <t>계획관리지역</t>
        </is>
      </c>
      <c r="C310" s="3" t="inlineStr">
        <is>
          <t>임야</t>
        </is>
      </c>
      <c r="D310" s="3" t="inlineStr">
        <is>
          <t>임야</t>
        </is>
      </c>
      <c r="E310" s="3" t="inlineStr">
        <is>
          <t>매매</t>
        </is>
      </c>
      <c r="F310" s="4" t="n">
        <v>100000</v>
      </c>
      <c r="G310" s="4" t="n">
        <v>1701</v>
      </c>
      <c r="H310" s="4" t="n">
        <v>515</v>
      </c>
      <c r="I310" s="5" t="n">
        <v>194.2</v>
      </c>
      <c r="J310" s="5" t="n">
        <v>59.3</v>
      </c>
      <c r="K310" s="3" t="inlineStr">
        <is>
          <t>오송신도시의 계획관리지역으로 투자가치가 좋음</t>
        </is>
      </c>
      <c r="L310" s="6">
        <f>HYPERLINK("https://fin.land.naver.com/articles/2647916765", "매물Link")</f>
        <v/>
      </c>
      <c r="M310" s="6">
        <f>HYPERLINK("https://map.naver.com/p/search/오송읍 쌍청리 117-16", "지도Link")</f>
        <v/>
      </c>
      <c r="N310" s="6">
        <f>HYPERLINK("http://www.eum.go.kr/web/ar/lu/luLandDet.jsp?pnu=4311325024101170016&amp;isNoScr=script&amp;mode=search", "토지이음")</f>
        <v/>
      </c>
      <c r="O310" s="3" t="inlineStr">
        <is>
          <t>가람</t>
        </is>
      </c>
      <c r="P310" s="4" t="n">
        <v>1</v>
      </c>
      <c r="Q310" s="4" t="n">
        <v>1701</v>
      </c>
      <c r="R310" s="3" t="inlineStr">
        <is>
          <t>지정되지않음</t>
        </is>
      </c>
      <c r="S310" s="3" t="inlineStr">
        <is>
          <t>전기타</t>
        </is>
      </c>
      <c r="T310" s="3" t="inlineStr">
        <is>
          <t>완경사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오송읍 쌍청리 117-16</t>
        </is>
      </c>
      <c r="B311" s="3" t="inlineStr">
        <is>
          <t>계획관리지역</t>
        </is>
      </c>
      <c r="C311" s="3" t="inlineStr">
        <is>
          <t>임야</t>
        </is>
      </c>
      <c r="D311" s="3" t="inlineStr">
        <is>
          <t>임야</t>
        </is>
      </c>
      <c r="E311" s="3" t="inlineStr">
        <is>
          <t>매매</t>
        </is>
      </c>
      <c r="F311" s="4" t="n">
        <v>65000</v>
      </c>
      <c r="G311" s="4" t="n">
        <v>1701</v>
      </c>
      <c r="H311" s="4" t="n">
        <v>515</v>
      </c>
      <c r="I311" s="5" t="n">
        <v>126.2</v>
      </c>
      <c r="J311" s="5" t="n">
        <v>59.3</v>
      </c>
      <c r="K311" s="3" t="inlineStr">
        <is>
          <t>오송 생활권 도로접근 계획관리 개발검토 토지</t>
        </is>
      </c>
      <c r="L311" s="6">
        <f>HYPERLINK("https://fin.land.naver.com/articles/2648110924", "매물Link")</f>
        <v/>
      </c>
      <c r="M311" s="6">
        <f>HYPERLINK("https://map.naver.com/p/search/오송읍 쌍청리 117-16", "지도Link")</f>
        <v/>
      </c>
      <c r="N311" s="6">
        <f>HYPERLINK("http://www.eum.go.kr/web/ar/lu/luLandDet.jsp?pnu=4311325024101170016&amp;isNoScr=script&amp;mode=search", "토지이음")</f>
        <v/>
      </c>
      <c r="O311" s="3" t="inlineStr">
        <is>
          <t>세종소담황금</t>
        </is>
      </c>
      <c r="P311" s="4" t="n">
        <v>1</v>
      </c>
      <c r="Q311" s="4" t="n">
        <v>1701</v>
      </c>
      <c r="R311" s="3" t="inlineStr">
        <is>
          <t>지정되지않음</t>
        </is>
      </c>
      <c r="S311" s="3" t="inlineStr">
        <is>
          <t>전기타</t>
        </is>
      </c>
      <c r="T311" s="3" t="inlineStr">
        <is>
          <t>완경사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오송읍 쌍청리 124-3</t>
        </is>
      </c>
      <c r="B312" s="3" t="inlineStr">
        <is>
          <t>계획관리지역</t>
        </is>
      </c>
      <c r="C312" s="3" t="inlineStr">
        <is>
          <t>전</t>
        </is>
      </c>
      <c r="D312" s="3" t="inlineStr">
        <is>
          <t>전</t>
        </is>
      </c>
      <c r="E312" s="3" t="inlineStr">
        <is>
          <t>매매</t>
        </is>
      </c>
      <c r="F312" s="4" t="n">
        <v>23100</v>
      </c>
      <c r="G312" s="4" t="n">
        <v>362</v>
      </c>
      <c r="H312" s="4" t="n">
        <v>110</v>
      </c>
      <c r="I312" s="5" t="n">
        <v>210</v>
      </c>
      <c r="J312" s="5" t="n">
        <v>69</v>
      </c>
      <c r="K312" s="3" t="inlineStr">
        <is>
          <t>오송 제1 생명과학단지 내주변 토지 매매</t>
        </is>
      </c>
      <c r="L312" s="6">
        <f>HYPERLINK("https://fin.land.naver.com/articles/2648085254", "매물Link")</f>
        <v/>
      </c>
      <c r="M312" s="6">
        <f>HYPERLINK("https://map.naver.com/p/search/오송읍 쌍청리 124-3", "지도Link")</f>
        <v/>
      </c>
      <c r="N312" s="6">
        <f>HYPERLINK("http://www.eum.go.kr/web/ar/lu/luLandDet.jsp?pnu=4311325024101240003&amp;isNoScr=script&amp;mode=search", "토지이음")</f>
        <v/>
      </c>
      <c r="O312" s="3" t="inlineStr">
        <is>
          <t>365</t>
        </is>
      </c>
      <c r="P312" s="4" t="n">
        <v>1</v>
      </c>
      <c r="Q312" s="4" t="n">
        <v>362</v>
      </c>
      <c r="R312" s="3" t="inlineStr">
        <is>
          <t>지정되지않음</t>
        </is>
      </c>
      <c r="S312" s="3" t="inlineStr">
        <is>
          <t>전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오송읍 쌍청리 29-1</t>
        </is>
      </c>
      <c r="B313" s="3" t="inlineStr">
        <is>
          <t>농림지역</t>
        </is>
      </c>
      <c r="C313" s="3" t="inlineStr">
        <is>
          <t>답</t>
        </is>
      </c>
      <c r="D313" s="3" t="inlineStr">
        <is>
          <t>답</t>
        </is>
      </c>
      <c r="E313" s="3" t="inlineStr">
        <is>
          <t>매매</t>
        </is>
      </c>
      <c r="F313" s="4" t="n">
        <v>53500</v>
      </c>
      <c r="G313" s="4" t="n">
        <v>2266</v>
      </c>
      <c r="H313" s="4" t="n">
        <v>685</v>
      </c>
      <c r="I313" s="5" t="n">
        <v>78.09999999999999</v>
      </c>
      <c r="J313" s="5" t="n">
        <v>31.9</v>
      </c>
      <c r="K313" s="3" t="inlineStr">
        <is>
          <t>대한제지 인근 오송역 근거리 농림지역 토지 급매  도로접함  대토에 적합</t>
        </is>
      </c>
      <c r="L313" s="6">
        <f>HYPERLINK("https://fin.land.naver.com/articles/2648940181", "매물Link")</f>
        <v/>
      </c>
      <c r="M313" s="6">
        <f>HYPERLINK("https://map.naver.com/p/search/오송읍 쌍청리 29-1", "지도Link")</f>
        <v/>
      </c>
      <c r="N313" s="6">
        <f>HYPERLINK("http://www.eum.go.kr/web/ar/lu/luLandDet.jsp?pnu=4311325024100290001&amp;isNoScr=script&amp;mode=search", "토지이음")</f>
        <v/>
      </c>
      <c r="O313" s="3" t="inlineStr">
        <is>
          <t>오송퍼스트영웅</t>
        </is>
      </c>
      <c r="P313" s="4" t="n">
        <v>1</v>
      </c>
      <c r="Q313" s="4" t="n">
        <v>2266</v>
      </c>
      <c r="R313" s="3" t="inlineStr">
        <is>
          <t>지정되지않음</t>
        </is>
      </c>
      <c r="S313" s="3" t="inlineStr">
        <is>
          <t>전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오송읍 쌍청리 317-5</t>
        </is>
      </c>
      <c r="B314" s="3" t="inlineStr">
        <is>
          <t>계획관리지역</t>
        </is>
      </c>
      <c r="C314" s="3" t="inlineStr">
        <is>
          <t>전</t>
        </is>
      </c>
      <c r="D314" s="3" t="inlineStr">
        <is>
          <t>전</t>
        </is>
      </c>
      <c r="E314" s="3" t="inlineStr">
        <is>
          <t>매매</t>
        </is>
      </c>
      <c r="F314" s="4" t="n">
        <v>110000</v>
      </c>
      <c r="G314" s="4" t="n">
        <v>1297</v>
      </c>
      <c r="H314" s="4" t="n">
        <v>392</v>
      </c>
      <c r="I314" s="5" t="n">
        <v>280.6</v>
      </c>
      <c r="J314" s="5" t="n">
        <v>109.6</v>
      </c>
      <c r="K314" s="3" t="inlineStr">
        <is>
          <t>4차선도로 예정지, 근생시설이나 사옥 적합</t>
        </is>
      </c>
      <c r="L314" s="6">
        <f>HYPERLINK("https://fin.land.naver.com/articles/2646721847", "매물Link")</f>
        <v/>
      </c>
      <c r="M314" s="6">
        <f>HYPERLINK("https://map.naver.com/p/search/오송읍 쌍청리 317-5", "지도Link")</f>
        <v/>
      </c>
      <c r="N314" s="6">
        <f>HYPERLINK("http://www.eum.go.kr/web/ar/lu/luLandDet.jsp?pnu=4311325024103170005&amp;isNoScr=script&amp;mode=search", "토지이음")</f>
        <v/>
      </c>
      <c r="O314" s="3" t="inlineStr">
        <is>
          <t>오송타운</t>
        </is>
      </c>
      <c r="P314" s="4" t="n">
        <v>1</v>
      </c>
      <c r="Q314" s="4" t="n">
        <v>856</v>
      </c>
      <c r="R314" s="3" t="inlineStr">
        <is>
          <t>지정되지않음</t>
        </is>
      </c>
      <c r="S314" s="3" t="inlineStr">
        <is>
          <t>전</t>
        </is>
      </c>
      <c r="T314" s="3" t="inlineStr">
        <is>
          <t>평지</t>
        </is>
      </c>
      <c r="U314" s="3" t="inlineStr">
        <is>
          <t>가로장방</t>
        </is>
      </c>
      <c r="V314" s="3" t="inlineStr">
        <is>
          <t>소로한면</t>
        </is>
      </c>
    </row>
    <row r="315">
      <c r="A315" s="3" t="inlineStr">
        <is>
          <t>오송읍 쌍청리 317-7</t>
        </is>
      </c>
      <c r="B315" s="3" t="inlineStr">
        <is>
          <t>계획관리지역</t>
        </is>
      </c>
      <c r="C315" s="3" t="inlineStr">
        <is>
          <t>전</t>
        </is>
      </c>
      <c r="D315" s="3" t="inlineStr">
        <is>
          <t>전</t>
        </is>
      </c>
      <c r="E315" s="3" t="inlineStr">
        <is>
          <t>매매</t>
        </is>
      </c>
      <c r="F315" s="4" t="n">
        <v>118000</v>
      </c>
      <c r="G315" s="4" t="n">
        <v>1297</v>
      </c>
      <c r="H315" s="4" t="n">
        <v>392</v>
      </c>
      <c r="I315" s="5" t="n">
        <v>301</v>
      </c>
      <c r="J315" s="5" t="n">
        <v>111.3</v>
      </c>
      <c r="K315" s="3" t="inlineStr">
        <is>
          <t>식약청인접한 2차선 지방도접 사옥부지 또는 근생 용지 추천물건</t>
        </is>
      </c>
      <c r="L315" s="6">
        <f>HYPERLINK("https://fin.land.naver.com/articles/2646748950", "매물Link")</f>
        <v/>
      </c>
      <c r="M315" s="6">
        <f>HYPERLINK("https://map.naver.com/p/search/오송읍 쌍청리 317-7", "지도Link")</f>
        <v/>
      </c>
      <c r="N315" s="6">
        <f>HYPERLINK("http://www.eum.go.kr/web/ar/lu/luLandDet.jsp?pnu=4311325024103170007&amp;isNoScr=script&amp;mode=search", "토지이음")</f>
        <v/>
      </c>
      <c r="O315" s="3" t="inlineStr">
        <is>
          <t>오송k랜드</t>
        </is>
      </c>
      <c r="P315" s="4" t="n">
        <v>1</v>
      </c>
      <c r="Q315" s="4" t="n">
        <v>441</v>
      </c>
      <c r="R315" s="3" t="inlineStr">
        <is>
          <t>지정되지않음</t>
        </is>
      </c>
      <c r="S315" s="3" t="inlineStr">
        <is>
          <t>전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소로한면</t>
        </is>
      </c>
    </row>
    <row r="316">
      <c r="A316" s="3" t="inlineStr">
        <is>
          <t>오송읍 쌍청리 463</t>
        </is>
      </c>
      <c r="B316" s="3" t="inlineStr">
        <is>
          <t>농림지역</t>
        </is>
      </c>
      <c r="C316" s="3" t="inlineStr">
        <is>
          <t>과수원</t>
        </is>
      </c>
      <c r="D316" s="3" t="inlineStr">
        <is>
          <t>과수원</t>
        </is>
      </c>
      <c r="E316" s="3" t="inlineStr">
        <is>
          <t>매매</t>
        </is>
      </c>
      <c r="F316" s="4" t="n">
        <v>105000</v>
      </c>
      <c r="G316" s="4" t="n">
        <v>4182</v>
      </c>
      <c r="H316" s="4" t="n">
        <v>1265</v>
      </c>
      <c r="I316" s="5" t="n">
        <v>83</v>
      </c>
      <c r="J316" s="5" t="n">
        <v>35.7</v>
      </c>
      <c r="K316" s="3" t="inlineStr">
        <is>
          <t>nan</t>
        </is>
      </c>
      <c r="L316" s="6">
        <f>HYPERLINK("https://fin.land.naver.com/articles/2648912962", "매물Link")</f>
        <v/>
      </c>
      <c r="M316" s="6">
        <f>HYPERLINK("https://map.naver.com/p/search/오송읍 쌍청리 463", "지도Link")</f>
        <v/>
      </c>
      <c r="N316" s="6">
        <f>HYPERLINK("http://www.eum.go.kr/web/ar/lu/luLandDet.jsp?pnu=4311325024104630000&amp;isNoScr=script&amp;mode=search", "토지이음")</f>
        <v/>
      </c>
      <c r="O316" s="3" t="inlineStr">
        <is>
          <t>오송퍼스트영웅</t>
        </is>
      </c>
      <c r="P316" s="4" t="n">
        <v>1</v>
      </c>
      <c r="Q316" s="4" t="n">
        <v>4182</v>
      </c>
      <c r="R316" s="3" t="inlineStr">
        <is>
          <t>지정되지않음</t>
        </is>
      </c>
      <c r="S316" s="3" t="inlineStr">
        <is>
          <t>과수원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세로한면(가)</t>
        </is>
      </c>
    </row>
    <row r="317">
      <c r="A317" s="3" t="inlineStr">
        <is>
          <t>오송읍 쌍청리 498</t>
        </is>
      </c>
      <c r="B317" s="3" t="inlineStr">
        <is>
          <t>계획관리지역</t>
        </is>
      </c>
      <c r="C317" s="3" t="inlineStr">
        <is>
          <t>답</t>
        </is>
      </c>
      <c r="D317" s="3" t="inlineStr">
        <is>
          <t>답</t>
        </is>
      </c>
      <c r="E317" s="3" t="inlineStr">
        <is>
          <t>매매</t>
        </is>
      </c>
      <c r="F317" s="4" t="n">
        <v>180000</v>
      </c>
      <c r="G317" s="4" t="n">
        <v>2188</v>
      </c>
      <c r="H317" s="4" t="n">
        <v>662</v>
      </c>
      <c r="I317" s="5" t="n">
        <v>271.9</v>
      </c>
      <c r="J317" s="5" t="n">
        <v>67.5</v>
      </c>
      <c r="K317" s="3" t="inlineStr">
        <is>
          <t>오송과학단지 인접하고 2차선도로에 접한 용도 다양성 우위</t>
        </is>
      </c>
      <c r="L317" s="6">
        <f>HYPERLINK("https://fin.land.naver.com/articles/2646750576", "매물Link")</f>
        <v/>
      </c>
      <c r="M317" s="6">
        <f>HYPERLINK("https://map.naver.com/p/search/오송읍 쌍청리 498", "지도Link")</f>
        <v/>
      </c>
      <c r="N317" s="6">
        <f>HYPERLINK("http://www.eum.go.kr/web/ar/lu/luLandDet.jsp?pnu=4311325024104980000&amp;isNoScr=script&amp;mode=search", "토지이음")</f>
        <v/>
      </c>
      <c r="O317" s="3" t="inlineStr">
        <is>
          <t>오송k랜드</t>
        </is>
      </c>
      <c r="P317" s="4" t="n">
        <v>1</v>
      </c>
      <c r="Q317" s="4" t="n">
        <v>2099</v>
      </c>
      <c r="R317" s="3" t="inlineStr">
        <is>
          <t>지정되지않음</t>
        </is>
      </c>
      <c r="S317" s="3" t="inlineStr">
        <is>
          <t>답</t>
        </is>
      </c>
      <c r="T317" s="3" t="inlineStr">
        <is>
          <t>평지</t>
        </is>
      </c>
      <c r="U317" s="3" t="inlineStr">
        <is>
          <t>자루형</t>
        </is>
      </c>
      <c r="V317" s="3" t="inlineStr">
        <is>
          <t>세로한면(불)</t>
        </is>
      </c>
    </row>
    <row r="318">
      <c r="A318" s="3" t="inlineStr">
        <is>
          <t>오송읍 쌍청리 539-2</t>
        </is>
      </c>
      <c r="B318" s="3" t="inlineStr">
        <is>
          <t>농림지역</t>
        </is>
      </c>
      <c r="C318" s="3" t="inlineStr">
        <is>
          <t>답</t>
        </is>
      </c>
      <c r="D318" s="3" t="inlineStr">
        <is>
          <t>답</t>
        </is>
      </c>
      <c r="E318" s="3" t="inlineStr">
        <is>
          <t>매매</t>
        </is>
      </c>
      <c r="F318" s="4" t="n">
        <v>30000</v>
      </c>
      <c r="G318" s="4" t="n">
        <v>4122</v>
      </c>
      <c r="H318" s="4" t="n">
        <v>1247</v>
      </c>
      <c r="I318" s="5" t="n">
        <v>24.1</v>
      </c>
      <c r="J318" s="5" t="n">
        <v>18</v>
      </c>
      <c r="K318" s="3" t="inlineStr">
        <is>
          <t>오송읍 쌍청리 농지 급매 농지원부 대토 투자 장기보유등 추천</t>
        </is>
      </c>
      <c r="L318" s="6">
        <f>HYPERLINK("https://fin.land.naver.com/articles/2645376783", "매물Link")</f>
        <v/>
      </c>
      <c r="M318" s="6">
        <f>HYPERLINK("https://map.naver.com/p/search/오송읍 쌍청리 539-2", "지도Link")</f>
        <v/>
      </c>
      <c r="N318" s="6">
        <f>HYPERLINK("http://www.eum.go.kr/web/ar/lu/luLandDet.jsp?pnu=4311325024105390002&amp;isNoScr=script&amp;mode=search", "토지이음")</f>
        <v/>
      </c>
      <c r="O318" s="3" t="inlineStr">
        <is>
          <t>그린</t>
        </is>
      </c>
      <c r="P318" s="4" t="n">
        <v>1</v>
      </c>
      <c r="Q318" s="4" t="n">
        <v>2208</v>
      </c>
      <c r="R318" s="3" t="inlineStr">
        <is>
          <t>지정되지않음</t>
        </is>
      </c>
      <c r="S318" s="3" t="inlineStr">
        <is>
          <t>답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맹지</t>
        </is>
      </c>
    </row>
    <row r="319">
      <c r="A319" s="3" t="inlineStr">
        <is>
          <t>오송읍 쌍청리 8-1</t>
        </is>
      </c>
      <c r="B319" s="3" t="inlineStr">
        <is>
          <t>생산관리지역</t>
        </is>
      </c>
      <c r="C319" s="3" t="inlineStr">
        <is>
          <t>답</t>
        </is>
      </c>
      <c r="D319" s="3" t="inlineStr">
        <is>
          <t>답</t>
        </is>
      </c>
      <c r="E319" s="3" t="inlineStr">
        <is>
          <t>매매</t>
        </is>
      </c>
      <c r="F319" s="4" t="n">
        <v>61000</v>
      </c>
      <c r="G319" s="4" t="n">
        <v>1613</v>
      </c>
      <c r="H319" s="4" t="n">
        <v>488</v>
      </c>
      <c r="I319" s="5" t="n">
        <v>125</v>
      </c>
      <c r="J319" s="5" t="n">
        <v>46.5</v>
      </c>
      <c r="K319" s="3" t="inlineStr">
        <is>
          <t>2차선 도로접  분할매매 가능</t>
        </is>
      </c>
      <c r="L319" s="6">
        <f>HYPERLINK("https://fin.land.naver.com/articles/2650758461", "매물Link")</f>
        <v/>
      </c>
      <c r="M319" s="6">
        <f>HYPERLINK("https://map.naver.com/p/search/오송읍 쌍청리 8-1", "지도Link")</f>
        <v/>
      </c>
      <c r="N319" s="6">
        <f>HYPERLINK("http://www.eum.go.kr/web/ar/lu/luLandDet.jsp?pnu=4311325024100080001&amp;isNoScr=script&amp;mode=search", "토지이음")</f>
        <v/>
      </c>
      <c r="O319" s="3" t="inlineStr">
        <is>
          <t>김창수</t>
        </is>
      </c>
      <c r="P319" s="4" t="n">
        <v>1</v>
      </c>
      <c r="Q319" s="4" t="n">
        <v>1613</v>
      </c>
      <c r="R319" s="3" t="inlineStr">
        <is>
          <t>지정되지않음</t>
        </is>
      </c>
      <c r="S319" s="3" t="inlineStr">
        <is>
          <t>답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오송읍 연제리 527-1</t>
        </is>
      </c>
      <c r="B320" s="3" t="inlineStr">
        <is>
          <t>계획관리지역</t>
        </is>
      </c>
      <c r="C320" s="3" t="inlineStr">
        <is>
          <t>전</t>
        </is>
      </c>
      <c r="D320" s="3" t="inlineStr">
        <is>
          <t>전</t>
        </is>
      </c>
      <c r="E320" s="3" t="inlineStr">
        <is>
          <t>매매</t>
        </is>
      </c>
      <c r="F320" s="4" t="n">
        <v>88000</v>
      </c>
      <c r="G320" s="4" t="n">
        <v>1825</v>
      </c>
      <c r="H320" s="4" t="n">
        <v>552</v>
      </c>
      <c r="I320" s="5" t="n">
        <v>159.4</v>
      </c>
      <c r="J320" s="5" t="n">
        <v>59.4</v>
      </c>
      <c r="K320" s="3" t="inlineStr">
        <is>
          <t>KTX오송역 인근 계획관리지역 큰평수</t>
        </is>
      </c>
      <c r="L320" s="6">
        <f>HYPERLINK("https://fin.land.naver.com/articles/2649678918", "매물Link")</f>
        <v/>
      </c>
      <c r="M320" s="6">
        <f>HYPERLINK("https://map.naver.com/p/search/오송읍 연제리 527-1", "지도Link")</f>
        <v/>
      </c>
      <c r="N320" s="6">
        <f>HYPERLINK("http://www.eum.go.kr/web/ar/lu/luLandDet.jsp?pnu=4311325026105270001&amp;isNoScr=script&amp;mode=search", "토지이음")</f>
        <v/>
      </c>
      <c r="O320" s="3" t="inlineStr">
        <is>
          <t>굿타임</t>
        </is>
      </c>
      <c r="P320" s="4" t="n">
        <v>1</v>
      </c>
      <c r="Q320" s="4" t="n">
        <v>1825</v>
      </c>
      <c r="R320" s="3" t="inlineStr">
        <is>
          <t>지정되지않음</t>
        </is>
      </c>
      <c r="S320" s="3" t="inlineStr">
        <is>
          <t>전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오송읍 연제리 539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55000</v>
      </c>
      <c r="G321" s="4" t="n">
        <v>493</v>
      </c>
      <c r="H321" s="4" t="n">
        <v>149</v>
      </c>
      <c r="I321" s="5" t="n">
        <v>369.1</v>
      </c>
      <c r="J321" s="5" t="n">
        <v>115.7</v>
      </c>
      <c r="K321" s="3" t="inlineStr">
        <is>
          <t>오송 호수공원 근접, 활용도 높은 토지 매매</t>
        </is>
      </c>
      <c r="L321" s="6">
        <f>HYPERLINK("https://fin.land.naver.com/articles/2650595801", "매물Link")</f>
        <v/>
      </c>
      <c r="M321" s="6">
        <f>HYPERLINK("https://map.naver.com/p/search/오송읍 연제리 539", "지도Link")</f>
        <v/>
      </c>
      <c r="N321" s="6">
        <f>HYPERLINK("http://www.eum.go.kr/web/ar/lu/luLandDet.jsp?pnu=4311325026105390000&amp;isNoScr=script&amp;mode=search", "토지이음")</f>
        <v/>
      </c>
      <c r="O321" s="3" t="inlineStr">
        <is>
          <t>광장</t>
        </is>
      </c>
      <c r="P321" s="4" t="n">
        <v>1</v>
      </c>
      <c r="Q321" s="4" t="n">
        <v>493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부정형</t>
        </is>
      </c>
      <c r="V321" s="3" t="inlineStr">
        <is>
          <t>세로각지(가)</t>
        </is>
      </c>
    </row>
    <row r="322">
      <c r="A322" s="3" t="inlineStr">
        <is>
          <t>오송읍 연제리 664-2</t>
        </is>
      </c>
      <c r="B322" s="3" t="inlineStr">
        <is>
          <t>준공업지역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2000000</v>
      </c>
      <c r="G322" s="4" t="n">
        <v>9917</v>
      </c>
      <c r="H322" s="4" t="n">
        <v>3000</v>
      </c>
      <c r="I322" s="5" t="n">
        <v>666.7</v>
      </c>
      <c r="J322" s="5" t="n">
        <v>199.2</v>
      </c>
      <c r="K322" s="3" t="inlineStr">
        <is>
          <t>현재 가치는 물론 오송 개발과 산업 인프라 확장에 따른 미래가치까지 기대</t>
        </is>
      </c>
      <c r="L322" s="6">
        <f>HYPERLINK("https://fin.land.naver.com/articles/2650115117", "매물Link")</f>
        <v/>
      </c>
      <c r="M322" s="6">
        <f>HYPERLINK("https://map.naver.com/p/search/오송읍 연제리 664-2", "지도Link")</f>
        <v/>
      </c>
      <c r="N322" s="6">
        <f>HYPERLINK("http://www.eum.go.kr/web/ar/lu/luLandDet.jsp?pnu=4311325026106640002&amp;isNoScr=script&amp;mode=search", "토지이음")</f>
        <v/>
      </c>
      <c r="O322" s="3" t="inlineStr">
        <is>
          <t>대한</t>
        </is>
      </c>
      <c r="P322" s="4" t="n">
        <v>1</v>
      </c>
      <c r="Q322" s="4" t="n">
        <v>4958.7</v>
      </c>
      <c r="R322" s="3" t="inlineStr">
        <is>
          <t>지정되지않음</t>
        </is>
      </c>
      <c r="S322" s="3" t="inlineStr">
        <is>
          <t>상업용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오송읍 연제리 668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820000</v>
      </c>
      <c r="G323" s="4" t="n">
        <v>1593</v>
      </c>
      <c r="H323" s="4" t="n">
        <v>482</v>
      </c>
      <c r="I323" s="5" t="n">
        <v>1701.2</v>
      </c>
      <c r="J323" s="5" t="n">
        <v>619.8</v>
      </c>
      <c r="K323" s="3" t="inlineStr">
        <is>
          <t>외1필지 호텔이나 오피스텔로 투자 적합</t>
        </is>
      </c>
      <c r="L323" s="6">
        <f>HYPERLINK("https://fin.land.naver.com/articles/2650139636", "매물Link")</f>
        <v/>
      </c>
      <c r="M323" s="6">
        <f>HYPERLINK("https://map.naver.com/p/search/오송읍 연제리 668", "지도Link")</f>
        <v/>
      </c>
      <c r="N323" s="6">
        <f>HYPERLINK("http://www.eum.go.kr/web/ar/lu/luLandDet.jsp?pnu=4311325026106680000&amp;isNoScr=script&amp;mode=search", "토지이음")</f>
        <v/>
      </c>
      <c r="O323" s="3" t="inlineStr">
        <is>
          <t>옥산하늘채 주식회사</t>
        </is>
      </c>
      <c r="P323" s="4" t="n">
        <v>1</v>
      </c>
      <c r="Q323" s="4" t="n">
        <v>803.1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광대소각</t>
        </is>
      </c>
    </row>
    <row r="324">
      <c r="A324" s="3" t="inlineStr">
        <is>
          <t>오송읍 연제리 668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820000</v>
      </c>
      <c r="G324" s="4" t="n">
        <v>1593</v>
      </c>
      <c r="H324" s="4" t="n">
        <v>482</v>
      </c>
      <c r="I324" s="5" t="n">
        <v>1701.2</v>
      </c>
      <c r="J324" s="5" t="n">
        <v>619.8</v>
      </c>
      <c r="K324" s="3" t="inlineStr">
        <is>
          <t>nan</t>
        </is>
      </c>
      <c r="L324" s="6">
        <f>HYPERLINK("https://fin.land.naver.com/articles/2646041860", "매물Link")</f>
        <v/>
      </c>
      <c r="M324" s="6">
        <f>HYPERLINK("https://map.naver.com/p/search/오송읍 연제리 668", "지도Link")</f>
        <v/>
      </c>
      <c r="N324" s="6">
        <f>HYPERLINK("http://www.eum.go.kr/web/ar/lu/luLandDet.jsp?pnu=4311325026106680000&amp;isNoScr=script&amp;mode=search", "토지이음")</f>
        <v/>
      </c>
      <c r="O324" s="3" t="inlineStr">
        <is>
          <t>바른</t>
        </is>
      </c>
      <c r="P324" s="4" t="n">
        <v>1</v>
      </c>
      <c r="Q324" s="4" t="n">
        <v>803.1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광대소각</t>
        </is>
      </c>
    </row>
    <row r="325">
      <c r="A325" s="3" t="inlineStr">
        <is>
          <t>오송읍 연제리 692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135000</v>
      </c>
      <c r="G325" s="4" t="n">
        <v>593</v>
      </c>
      <c r="H325" s="4" t="n">
        <v>179</v>
      </c>
      <c r="I325" s="5" t="n">
        <v>754.2</v>
      </c>
      <c r="J325" s="5" t="n">
        <v>301.3</v>
      </c>
      <c r="K325" s="3" t="inlineStr">
        <is>
          <t>nan</t>
        </is>
      </c>
      <c r="L325" s="6">
        <f>HYPERLINK("https://fin.land.naver.com/articles/2648135693", "매물Link")</f>
        <v/>
      </c>
      <c r="M325" s="6">
        <f>HYPERLINK("https://map.naver.com/p/search/오송읍 연제리 692", "지도Link")</f>
        <v/>
      </c>
      <c r="N325" s="6">
        <f>HYPERLINK("http://www.eum.go.kr/web/ar/lu/luLandDet.jsp?pnu=4311325026106920000&amp;isNoScr=script&amp;mode=search", "토지이음")</f>
        <v/>
      </c>
      <c r="O325" s="3" t="inlineStr">
        <is>
          <t>오송퍼스트영웅</t>
        </is>
      </c>
      <c r="P325" s="4" t="n">
        <v>1</v>
      </c>
      <c r="Q325" s="4" t="n">
        <v>593.3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광대소각</t>
        </is>
      </c>
    </row>
    <row r="326">
      <c r="A326" s="3" t="inlineStr">
        <is>
          <t>오송읍 연제리 703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270000</v>
      </c>
      <c r="G326" s="4" t="n">
        <v>690</v>
      </c>
      <c r="H326" s="4" t="n">
        <v>209</v>
      </c>
      <c r="I326" s="5" t="n">
        <v>1291.9</v>
      </c>
      <c r="J326" s="5" t="n">
        <v>809.3</v>
      </c>
      <c r="K326" s="3" t="inlineStr">
        <is>
          <t>일반 상업지역, 상업 나지</t>
        </is>
      </c>
      <c r="L326" s="6">
        <f>HYPERLINK("https://fin.land.naver.com/articles/2647673845", "매물Link")</f>
        <v/>
      </c>
      <c r="M326" s="6">
        <f>HYPERLINK("https://map.naver.com/p/search/오송읍 연제리 703", "지도Link")</f>
        <v/>
      </c>
      <c r="N326" s="6">
        <f>HYPERLINK("http://www.eum.go.kr/web/ar/lu/luLandDet.jsp?pnu=4311325026107030000&amp;isNoScr=script&amp;mode=search", "토지이음")</f>
        <v/>
      </c>
      <c r="O326" s="3" t="inlineStr">
        <is>
          <t>딜  중개</t>
        </is>
      </c>
      <c r="P326" s="4" t="n">
        <v>1</v>
      </c>
      <c r="Q326" s="4" t="n">
        <v>690.3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광대소각</t>
        </is>
      </c>
    </row>
    <row r="327">
      <c r="A327" s="3" t="inlineStr">
        <is>
          <t>오송읍 연제리 773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35000</v>
      </c>
      <c r="G327" s="4" t="n">
        <v>260</v>
      </c>
      <c r="H327" s="4" t="n">
        <v>79</v>
      </c>
      <c r="I327" s="5" t="n">
        <v>443</v>
      </c>
      <c r="J327" s="5" t="n">
        <v>227</v>
      </c>
      <c r="K327" s="3" t="inlineStr">
        <is>
          <t>호수공원 인접 오송역 도보 이용 가능</t>
        </is>
      </c>
      <c r="L327" s="6">
        <f>HYPERLINK("https://fin.land.naver.com/articles/2645860009", "매물Link")</f>
        <v/>
      </c>
      <c r="M327" s="6">
        <f>HYPERLINK("https://map.naver.com/p/search/오송읍 연제리 773", "지도Link")</f>
        <v/>
      </c>
      <c r="N327" s="6">
        <f>HYPERLINK("http://www.eum.go.kr/web/ar/lu/luLandDet.jsp?pnu=4311325026107730000&amp;isNoScr=script&amp;mode=search", "토지이음")</f>
        <v/>
      </c>
      <c r="O327" s="3" t="inlineStr">
        <is>
          <t>오송베스트</t>
        </is>
      </c>
      <c r="P327" s="4" t="n">
        <v>1</v>
      </c>
      <c r="Q327" s="4" t="n">
        <v>260.4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오송읍 오송리 206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86000</v>
      </c>
      <c r="G328" s="4" t="n">
        <v>635</v>
      </c>
      <c r="H328" s="4" t="n">
        <v>192</v>
      </c>
      <c r="I328" s="5" t="n">
        <v>447.9</v>
      </c>
      <c r="J328" s="5" t="n">
        <v>168.2</v>
      </c>
      <c r="K328" s="3" t="inlineStr">
        <is>
          <t>대단지 아파트 앞 코너 땅, 8m 도로</t>
        </is>
      </c>
      <c r="L328" s="6">
        <f>HYPERLINK("https://fin.land.naver.com/articles/2645194580", "매물Link")</f>
        <v/>
      </c>
      <c r="M328" s="6">
        <f>HYPERLINK("https://map.naver.com/p/search/오송읍 오송리 206", "지도Link")</f>
        <v/>
      </c>
      <c r="N328" s="6">
        <f>HYPERLINK("http://www.eum.go.kr/web/ar/lu/luLandDet.jsp?pnu=4311325028102060000&amp;isNoScr=script&amp;mode=search", "토지이음")</f>
        <v/>
      </c>
      <c r="O328" s="3" t="inlineStr">
        <is>
          <t>세종큰길</t>
        </is>
      </c>
      <c r="P328" s="4" t="n">
        <v>1</v>
      </c>
      <c r="Q328" s="4" t="n">
        <v>340</v>
      </c>
      <c r="R328" s="3" t="inlineStr">
        <is>
          <t>지정되지않음</t>
        </is>
      </c>
      <c r="S328" s="3" t="inlineStr">
        <is>
          <t>주거기타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세로각지(가)</t>
        </is>
      </c>
    </row>
    <row r="329">
      <c r="A329" s="3" t="inlineStr">
        <is>
          <t>오송읍 오송리 206-3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96000</v>
      </c>
      <c r="G329" s="4" t="n">
        <v>635</v>
      </c>
      <c r="H329" s="4" t="n">
        <v>192</v>
      </c>
      <c r="I329" s="5" t="n">
        <v>500</v>
      </c>
      <c r="J329" s="5" t="n">
        <v>159.6</v>
      </c>
      <c r="K329" s="3" t="inlineStr">
        <is>
          <t>힐스테이트 오송역퍼스트 앞 토지 매매</t>
        </is>
      </c>
      <c r="L329" s="6">
        <f>HYPERLINK("https://fin.land.naver.com/articles/2648085186", "매물Link")</f>
        <v/>
      </c>
      <c r="M329" s="6">
        <f>HYPERLINK("https://map.naver.com/p/search/오송읍 오송리 206-3", "지도Link")</f>
        <v/>
      </c>
      <c r="N329" s="6">
        <f>HYPERLINK("http://www.eum.go.kr/web/ar/lu/luLandDet.jsp?pnu=4311325028102060003&amp;isNoScr=script&amp;mode=search", "토지이음")</f>
        <v/>
      </c>
      <c r="O329" s="3" t="inlineStr">
        <is>
          <t>365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단독</t>
        </is>
      </c>
      <c r="T329" s="3" t="inlineStr">
        <is>
          <t>평지</t>
        </is>
      </c>
      <c r="U329" s="3" t="inlineStr">
        <is>
          <t>부정형</t>
        </is>
      </c>
      <c r="V329" s="3" t="inlineStr">
        <is>
          <t>세로각지(가)</t>
        </is>
      </c>
    </row>
    <row r="330">
      <c r="A330" s="3" t="inlineStr">
        <is>
          <t>오송읍 오송리 224-2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81500</v>
      </c>
      <c r="G330" s="4" t="n">
        <v>538</v>
      </c>
      <c r="H330" s="4" t="n">
        <v>163</v>
      </c>
      <c r="I330" s="5" t="n">
        <v>500</v>
      </c>
      <c r="J330" s="5" t="n">
        <v>136.5</v>
      </c>
      <c r="K330" s="3" t="inlineStr">
        <is>
          <t>3산단초입 투자물건 2필지</t>
        </is>
      </c>
      <c r="L330" s="6">
        <f>HYPERLINK("https://fin.land.naver.com/articles/2649702680", "매물Link")</f>
        <v/>
      </c>
      <c r="M330" s="6">
        <f>HYPERLINK("https://map.naver.com/p/search/오송읍 오송리 224-2", "지도Link")</f>
        <v/>
      </c>
      <c r="N330" s="6">
        <f>HYPERLINK("http://www.eum.go.kr/web/ar/lu/luLandDet.jsp?pnu=4311325028102240002&amp;isNoScr=script&amp;mode=search", "토지이음")</f>
        <v/>
      </c>
      <c r="O330" s="3" t="inlineStr">
        <is>
          <t>금송</t>
        </is>
      </c>
      <c r="P330" s="4" t="n">
        <v>1</v>
      </c>
      <c r="Q330" s="4" t="n">
        <v>182</v>
      </c>
      <c r="R330" s="3" t="inlineStr">
        <is>
          <t>지정되지않음</t>
        </is>
      </c>
      <c r="S330" s="3" t="inlineStr">
        <is>
          <t>단독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오송읍 오송리 242-2</t>
        </is>
      </c>
      <c r="B331" s="3" t="inlineStr">
        <is>
          <t>계획관리지역</t>
        </is>
      </c>
      <c r="C331" s="3" t="inlineStr">
        <is>
          <t>주유소용지</t>
        </is>
      </c>
      <c r="D331" s="3" t="inlineStr">
        <is>
          <t>주유소용지</t>
        </is>
      </c>
      <c r="E331" s="3" t="inlineStr">
        <is>
          <t>매매</t>
        </is>
      </c>
      <c r="F331" s="4" t="n">
        <v>245000</v>
      </c>
      <c r="G331" s="4" t="n">
        <v>810</v>
      </c>
      <c r="H331" s="4" t="n">
        <v>245</v>
      </c>
      <c r="I331" s="5" t="n">
        <v>1000</v>
      </c>
      <c r="J331" s="5" t="n">
        <v>313.2</v>
      </c>
      <c r="K331" s="3" t="inlineStr">
        <is>
          <t>6차선변 주유소현 휴업중 매매</t>
        </is>
      </c>
      <c r="L331" s="6">
        <f>HYPERLINK("https://fin.land.naver.com/articles/2647193813", "매물Link")</f>
        <v/>
      </c>
      <c r="M331" s="6">
        <f>HYPERLINK("https://map.naver.com/p/search/오송읍 오송리 242-2", "지도Link")</f>
        <v/>
      </c>
      <c r="N331" s="6">
        <f>HYPERLINK("http://www.eum.go.kr/web/ar/lu/luLandDet.jsp?pnu=4311325028102420002&amp;isNoScr=script&amp;mode=search", "토지이음")</f>
        <v/>
      </c>
      <c r="O331" s="3" t="inlineStr">
        <is>
          <t>한국토지중개</t>
        </is>
      </c>
      <c r="P331" s="4" t="n">
        <v>1</v>
      </c>
      <c r="Q331" s="4" t="n">
        <v>810</v>
      </c>
      <c r="R331" s="3" t="inlineStr">
        <is>
          <t>지정되지않음</t>
        </is>
      </c>
      <c r="S331" s="3" t="inlineStr">
        <is>
          <t>주상용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광대로한면</t>
        </is>
      </c>
    </row>
    <row r="332">
      <c r="A332" s="3" t="inlineStr">
        <is>
          <t>오송읍 오송리 242-21</t>
        </is>
      </c>
      <c r="B332" s="3" t="inlineStr">
        <is>
          <t>계획관리지역</t>
        </is>
      </c>
      <c r="C332" s="3" t="inlineStr">
        <is>
          <t>전</t>
        </is>
      </c>
      <c r="D332" s="3" t="inlineStr">
        <is>
          <t>전</t>
        </is>
      </c>
      <c r="E332" s="3" t="inlineStr">
        <is>
          <t>매매</t>
        </is>
      </c>
      <c r="F332" s="4" t="n">
        <v>32000</v>
      </c>
      <c r="G332" s="4" t="n">
        <v>300</v>
      </c>
      <c r="H332" s="4" t="n">
        <v>91</v>
      </c>
      <c r="I332" s="5" t="n">
        <v>351.6</v>
      </c>
      <c r="J332" s="5" t="n">
        <v>84.5</v>
      </c>
      <c r="K332" s="3" t="inlineStr">
        <is>
          <t>3산단 예정지 배후, 임대수익형 다가구 자리
3산단 배후지, 임대수익형</t>
        </is>
      </c>
      <c r="L332" s="6">
        <f>HYPERLINK("https://fin.land.naver.com/articles/2649702126", "매물Link")</f>
        <v/>
      </c>
      <c r="M332" s="6">
        <f>HYPERLINK("https://map.naver.com/p/search/오송읍 오송리 242-21", "지도Link")</f>
        <v/>
      </c>
      <c r="N332" s="6">
        <f>HYPERLINK("http://www.eum.go.kr/web/ar/lu/luLandDet.jsp?pnu=4311325028102420021&amp;isNoScr=script&amp;mode=search", "토지이음")</f>
        <v/>
      </c>
      <c r="O332" s="3" t="inlineStr">
        <is>
          <t>금송</t>
        </is>
      </c>
      <c r="P332" s="4" t="n">
        <v>1</v>
      </c>
      <c r="Q332" s="4" t="n">
        <v>165</v>
      </c>
      <c r="R332" s="3" t="inlineStr">
        <is>
          <t>지정되지않음</t>
        </is>
      </c>
      <c r="S332" s="3" t="inlineStr">
        <is>
          <t>전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오송읍 오송리 245-4</t>
        </is>
      </c>
      <c r="B333" s="3" t="inlineStr">
        <is>
          <t>계획관리지역</t>
        </is>
      </c>
      <c r="C333" s="3" t="inlineStr">
        <is>
          <t>답</t>
        </is>
      </c>
      <c r="D333" s="3" t="inlineStr">
        <is>
          <t>답</t>
        </is>
      </c>
      <c r="E333" s="3" t="inlineStr">
        <is>
          <t>매매</t>
        </is>
      </c>
      <c r="F333" s="4" t="n">
        <v>120000</v>
      </c>
      <c r="G333" s="4" t="n">
        <v>976</v>
      </c>
      <c r="H333" s="4" t="n">
        <v>295</v>
      </c>
      <c r="I333" s="5" t="n">
        <v>406.8</v>
      </c>
      <c r="J333" s="5" t="n">
        <v>103.7</v>
      </c>
      <c r="K333" s="3" t="inlineStr">
        <is>
          <t>오송3리 오송천주교회와 3산산단 경계부의 사업용 토지</t>
        </is>
      </c>
      <c r="L333" s="6">
        <f>HYPERLINK("https://fin.land.naver.com/articles/2649169945", "매물Link")</f>
        <v/>
      </c>
      <c r="M333" s="6">
        <f>HYPERLINK("https://map.naver.com/p/search/오송읍 오송리 245-4", "지도Link")</f>
        <v/>
      </c>
      <c r="N333" s="6">
        <f>HYPERLINK("http://www.eum.go.kr/web/ar/lu/luLandDet.jsp?pnu=4311325028102450004&amp;isNoScr=script&amp;mode=search", "토지이음")</f>
        <v/>
      </c>
      <c r="O333" s="3" t="inlineStr">
        <is>
          <t>오송k랜드</t>
        </is>
      </c>
      <c r="P333" s="4" t="n">
        <v>1</v>
      </c>
      <c r="Q333" s="4" t="n">
        <v>700</v>
      </c>
      <c r="R333" s="3" t="inlineStr">
        <is>
          <t>지정되지않음</t>
        </is>
      </c>
      <c r="S333" s="3" t="inlineStr">
        <is>
          <t>답기타</t>
        </is>
      </c>
      <c r="T333" s="3" t="inlineStr">
        <is>
          <t>평지</t>
        </is>
      </c>
      <c r="U333" s="3" t="inlineStr">
        <is>
          <t>부정형</t>
        </is>
      </c>
      <c r="V333" s="3" t="inlineStr">
        <is>
          <t>세로한면(가)</t>
        </is>
      </c>
    </row>
    <row r="334">
      <c r="A334" s="3" t="inlineStr">
        <is>
          <t>오송읍 오송리 246-52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911</v>
      </c>
      <c r="H334" s="4" t="n">
        <v>276</v>
      </c>
      <c r="I334" s="5" t="n">
        <v>543.5</v>
      </c>
      <c r="J334" s="5" t="n">
        <v>163.6</v>
      </c>
      <c r="K334" s="3" t="inlineStr">
        <is>
          <t>현재 나대지 3산단개발 호재로 투자가치 최고의땅</t>
        </is>
      </c>
      <c r="L334" s="6">
        <f>HYPERLINK("https://fin.land.naver.com/articles/2645262563", "매물Link")</f>
        <v/>
      </c>
      <c r="M334" s="6">
        <f>HYPERLINK("https://map.naver.com/p/search/오송읍 오송리 246-52", "지도Link")</f>
        <v/>
      </c>
      <c r="N334" s="6">
        <f>HYPERLINK("http://www.eum.go.kr/web/ar/lu/luLandDet.jsp?pnu=4311325028102460052&amp;isNoScr=script&amp;mode=search", "토지이음")</f>
        <v/>
      </c>
      <c r="O334" s="3" t="inlineStr">
        <is>
          <t>오송올래</t>
        </is>
      </c>
      <c r="P334" s="4" t="n">
        <v>1</v>
      </c>
      <c r="Q334" s="4" t="n">
        <v>667</v>
      </c>
      <c r="R334" s="3" t="inlineStr">
        <is>
          <t>지정되지않음</t>
        </is>
      </c>
      <c r="S334" s="3" t="inlineStr">
        <is>
          <t>공업용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오송읍 오송리 246-53</t>
        </is>
      </c>
      <c r="B335" s="3" t="inlineStr">
        <is>
          <t>계획관리지역</t>
        </is>
      </c>
      <c r="C335" s="3" t="inlineStr">
        <is>
          <t>전</t>
        </is>
      </c>
      <c r="D335" s="3" t="inlineStr">
        <is>
          <t>전</t>
        </is>
      </c>
      <c r="E335" s="3" t="inlineStr">
        <is>
          <t>매매</t>
        </is>
      </c>
      <c r="F335" s="4" t="n">
        <v>330000</v>
      </c>
      <c r="G335" s="4" t="n">
        <v>2011</v>
      </c>
      <c r="H335" s="4" t="n">
        <v>608</v>
      </c>
      <c r="I335" s="5" t="n">
        <v>542.8</v>
      </c>
      <c r="J335" s="5" t="n">
        <v>110.3</v>
      </c>
      <c r="K335" s="3" t="inlineStr">
        <is>
          <t>오송농협 36국도인접 계획관리지역,  실사업용 추천물건
오송제3산단 경</t>
        </is>
      </c>
      <c r="L335" s="6">
        <f>HYPERLINK("https://fin.land.naver.com/articles/2648239506", "매물Link")</f>
        <v/>
      </c>
      <c r="M335" s="6">
        <f>HYPERLINK("https://map.naver.com/p/search/오송읍 오송리 246-53", "지도Link")</f>
        <v/>
      </c>
      <c r="N335" s="6">
        <f>HYPERLINK("http://www.eum.go.kr/web/ar/lu/luLandDet.jsp?pnu=4311325028102460053&amp;isNoScr=script&amp;mode=search", "토지이음")</f>
        <v/>
      </c>
      <c r="O335" s="3" t="inlineStr">
        <is>
          <t>오송k랜드</t>
        </is>
      </c>
      <c r="P335" s="4" t="n">
        <v>1</v>
      </c>
      <c r="Q335" s="4" t="n">
        <v>2011</v>
      </c>
      <c r="R335" s="3" t="inlineStr">
        <is>
          <t>지정되지않음</t>
        </is>
      </c>
      <c r="S335" s="3" t="inlineStr">
        <is>
          <t>전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오송읍 오송리 60-104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286</v>
      </c>
      <c r="H336" s="4" t="n">
        <v>87</v>
      </c>
      <c r="I336" s="5" t="n">
        <v>804.6</v>
      </c>
      <c r="J336" s="5" t="n">
        <v>234</v>
      </c>
      <c r="K336" s="3" t="inlineStr">
        <is>
          <t>힐스테이트 맞은편 대 매매</t>
        </is>
      </c>
      <c r="L336" s="6">
        <f>HYPERLINK("https://fin.land.naver.com/articles/2649964725", "매물Link")</f>
        <v/>
      </c>
      <c r="M336" s="6">
        <f>HYPERLINK("https://map.naver.com/p/search/오송읍 오송리 60-104", "지도Link")</f>
        <v/>
      </c>
      <c r="N336" s="6">
        <f>HYPERLINK("http://www.eum.go.kr/web/ar/lu/luLandDet.jsp?pnu=4311325028100600104&amp;isNoScr=script&amp;mode=search", "토지이음")</f>
        <v/>
      </c>
      <c r="O336" s="3" t="inlineStr">
        <is>
          <t>광장</t>
        </is>
      </c>
      <c r="P336" s="4" t="n">
        <v>1</v>
      </c>
      <c r="Q336" s="4" t="n">
        <v>286</v>
      </c>
      <c r="R336" s="3" t="inlineStr">
        <is>
          <t>지정되지않음</t>
        </is>
      </c>
      <c r="S336" s="3" t="inlineStr">
        <is>
          <t>단독</t>
        </is>
      </c>
      <c r="T336" s="3" t="inlineStr">
        <is>
          <t>평지</t>
        </is>
      </c>
      <c r="U336" s="3" t="inlineStr">
        <is>
          <t>부정형</t>
        </is>
      </c>
      <c r="V336" s="3" t="inlineStr">
        <is>
          <t>소로한면</t>
        </is>
      </c>
    </row>
    <row r="337">
      <c r="A337" s="3" t="inlineStr">
        <is>
          <t>오송읍 정중리 206-5</t>
        </is>
      </c>
      <c r="B337" s="3" t="inlineStr">
        <is>
          <t>계획관리지역</t>
        </is>
      </c>
      <c r="C337" s="3" t="inlineStr">
        <is>
          <t>전</t>
        </is>
      </c>
      <c r="D337" s="3" t="inlineStr">
        <is>
          <t>전</t>
        </is>
      </c>
      <c r="E337" s="3" t="inlineStr">
        <is>
          <t>매매</t>
        </is>
      </c>
      <c r="F337" s="4" t="n">
        <v>15000</v>
      </c>
      <c r="G337" s="4" t="n">
        <v>278</v>
      </c>
      <c r="H337" s="4" t="n">
        <v>84</v>
      </c>
      <c r="I337" s="5" t="n">
        <v>178.6</v>
      </c>
      <c r="J337" s="5" t="n">
        <v>62.7</v>
      </c>
      <c r="K337" s="3" t="inlineStr">
        <is>
          <t>강추 매물 계획관리지역, 땅 소액투자, 미래가치성 좋음</t>
        </is>
      </c>
      <c r="L337" s="6">
        <f>HYPERLINK("https://fin.land.naver.com/articles/2650556418", "매물Link")</f>
        <v/>
      </c>
      <c r="M337" s="6">
        <f>HYPERLINK("https://map.naver.com/p/search/오송읍 정중리 206-5", "지도Link")</f>
        <v/>
      </c>
      <c r="N337" s="6">
        <f>HYPERLINK("http://www.eum.go.kr/web/ar/lu/luLandDet.jsp?pnu=4311325032102060005&amp;isNoScr=script&amp;mode=search", "토지이음")</f>
        <v/>
      </c>
      <c r="O337" s="3" t="inlineStr">
        <is>
          <t>현담</t>
        </is>
      </c>
      <c r="P337" s="4" t="n">
        <v>1</v>
      </c>
      <c r="Q337" s="4" t="n">
        <v>278</v>
      </c>
      <c r="R337" s="3" t="inlineStr">
        <is>
          <t>지정되지않음</t>
        </is>
      </c>
      <c r="S337" s="3" t="inlineStr">
        <is>
          <t>전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오송읍 정중리 317-1</t>
        </is>
      </c>
      <c r="B338" s="3" t="inlineStr">
        <is>
          <t>농림지역</t>
        </is>
      </c>
      <c r="C338" s="3" t="inlineStr">
        <is>
          <t>잡종지</t>
        </is>
      </c>
      <c r="D338" s="3" t="inlineStr">
        <is>
          <t>잡종지</t>
        </is>
      </c>
      <c r="E338" s="3" t="inlineStr">
        <is>
          <t>매매</t>
        </is>
      </c>
      <c r="F338" s="4" t="n">
        <v>180000</v>
      </c>
      <c r="G338" s="4" t="n">
        <v>11497</v>
      </c>
      <c r="H338" s="4" t="n">
        <v>3478</v>
      </c>
      <c r="I338" s="5" t="n">
        <v>51.8</v>
      </c>
      <c r="J338" s="5" t="n">
        <v>25.2</v>
      </c>
      <c r="K338" s="3" t="inlineStr">
        <is>
          <t>오송KTX역 및 오송바이오2산단 인근  2차선 도로접한 창고 및 토지</t>
        </is>
      </c>
      <c r="L338" s="6">
        <f>HYPERLINK("https://fin.land.naver.com/articles/2646727754", "매물Link")</f>
        <v/>
      </c>
      <c r="M338" s="6">
        <f>HYPERLINK("https://map.naver.com/p/search/오송읍 정중리 317-1", "지도Link")</f>
        <v/>
      </c>
      <c r="N338" s="6">
        <f>HYPERLINK("http://www.eum.go.kr/web/ar/lu/luLandDet.jsp?pnu=4311325032103170001&amp;isNoScr=script&amp;mode=search", "토지이음")</f>
        <v/>
      </c>
      <c r="O338" s="3" t="inlineStr">
        <is>
          <t>번영</t>
        </is>
      </c>
      <c r="P338" s="4" t="n">
        <v>1</v>
      </c>
      <c r="Q338" s="4" t="n">
        <v>237</v>
      </c>
      <c r="R338" s="3" t="inlineStr">
        <is>
          <t>지정되지않음</t>
        </is>
      </c>
      <c r="S338" s="3" t="inlineStr">
        <is>
          <t>답창고</t>
        </is>
      </c>
      <c r="T338" s="3" t="inlineStr">
        <is>
          <t>평지</t>
        </is>
      </c>
      <c r="U338" s="3" t="inlineStr">
        <is>
          <t>부정형</t>
        </is>
      </c>
      <c r="V338" s="3" t="inlineStr">
        <is>
          <t>세로한면(가)</t>
        </is>
      </c>
    </row>
    <row r="339">
      <c r="A339" s="3" t="inlineStr">
        <is>
          <t>오송읍 정중리 634</t>
        </is>
      </c>
      <c r="B339" s="3" t="inlineStr">
        <is>
          <t>일반공업지역</t>
        </is>
      </c>
      <c r="C339" s="3" t="inlineStr">
        <is>
          <t>공장용지</t>
        </is>
      </c>
      <c r="D339" s="3" t="inlineStr">
        <is>
          <t>공장용지</t>
        </is>
      </c>
      <c r="E339" s="3" t="inlineStr">
        <is>
          <t>매매</t>
        </is>
      </c>
      <c r="F339" s="4" t="n">
        <v>1416100</v>
      </c>
      <c r="G339" s="4" t="n">
        <v>27537</v>
      </c>
      <c r="H339" s="4" t="n">
        <v>8330</v>
      </c>
      <c r="I339" s="5" t="n">
        <v>170</v>
      </c>
      <c r="J339" s="5" t="n">
        <v>74.40000000000001</v>
      </c>
      <c r="K339" s="3" t="inlineStr">
        <is>
          <t>nan</t>
        </is>
      </c>
      <c r="L339" s="6">
        <f>HYPERLINK("https://fin.land.naver.com/articles/2646479249", "매물Link")</f>
        <v/>
      </c>
      <c r="M339" s="6">
        <f>HYPERLINK("https://map.naver.com/p/search/오송읍 정중리 634", "지도Link")</f>
        <v/>
      </c>
      <c r="N339" s="6">
        <f>HYPERLINK("http://www.eum.go.kr/web/ar/lu/luLandDet.jsp?pnu=4311325032106340000&amp;isNoScr=script&amp;mode=search", "토지이음")</f>
        <v/>
      </c>
      <c r="O339" s="3" t="inlineStr">
        <is>
          <t>스마트랜드</t>
        </is>
      </c>
      <c r="P339" s="4" t="n">
        <v>1</v>
      </c>
      <c r="Q339" s="4" t="n">
        <v>27537.3</v>
      </c>
      <c r="R339" s="3" t="inlineStr">
        <is>
          <t>지정되지않음</t>
        </is>
      </c>
      <c r="S339" s="3" t="inlineStr">
        <is>
          <t>공업기타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광대소각</t>
        </is>
      </c>
    </row>
    <row r="340">
      <c r="A340" s="3" t="inlineStr">
        <is>
          <t>오송읍 정중리 699</t>
        </is>
      </c>
      <c r="B340" s="3" t="inlineStr">
        <is>
          <t>준공업지역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152000</v>
      </c>
      <c r="G340" s="4" t="n">
        <v>678</v>
      </c>
      <c r="H340" s="4" t="n">
        <v>205</v>
      </c>
      <c r="I340" s="5" t="n">
        <v>741.5</v>
      </c>
      <c r="J340" s="5" t="n">
        <v>361</v>
      </c>
      <c r="K340" s="3" t="inlineStr">
        <is>
          <t>대형평수 음식점 사무실 학원 추천자리</t>
        </is>
      </c>
      <c r="L340" s="6">
        <f>HYPERLINK("https://fin.land.naver.com/articles/2645805290", "매물Link")</f>
        <v/>
      </c>
      <c r="M340" s="6">
        <f>HYPERLINK("https://map.naver.com/p/search/오송읍 정중리 699", "지도Link")</f>
        <v/>
      </c>
      <c r="N340" s="6">
        <f>HYPERLINK("http://www.eum.go.kr/web/ar/lu/luLandDet.jsp?pnu=4311325032106990000&amp;isNoScr=script&amp;mode=search", "토지이음")</f>
        <v/>
      </c>
      <c r="O340" s="3" t="inlineStr">
        <is>
          <t>오송명품</t>
        </is>
      </c>
      <c r="P340" s="4" t="n">
        <v>1</v>
      </c>
      <c r="Q340" s="4" t="n">
        <v>678.2</v>
      </c>
      <c r="R340" s="3" t="inlineStr">
        <is>
          <t>지정되지않음</t>
        </is>
      </c>
      <c r="S340" s="3" t="inlineStr">
        <is>
          <t>상업기타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중로각지</t>
        </is>
      </c>
    </row>
    <row r="341">
      <c r="A341" s="3" t="inlineStr">
        <is>
          <t>오송읍 정중리 704</t>
        </is>
      </c>
      <c r="B341" s="3" t="inlineStr">
        <is>
          <t>준공업지역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140000</v>
      </c>
      <c r="G341" s="4" t="n">
        <v>548</v>
      </c>
      <c r="H341" s="4" t="n">
        <v>166</v>
      </c>
      <c r="I341" s="5" t="n">
        <v>843.4</v>
      </c>
      <c r="J341" s="5" t="n">
        <v>347.1</v>
      </c>
      <c r="K341" s="3" t="inlineStr">
        <is>
          <t>급매, 오송 국민체육센터 인근 토지 매매</t>
        </is>
      </c>
      <c r="L341" s="6">
        <f>HYPERLINK("https://fin.land.naver.com/articles/2648308447", "매물Link")</f>
        <v/>
      </c>
      <c r="M341" s="6">
        <f>HYPERLINK("https://map.naver.com/p/search/오송읍 정중리 704", "지도Link")</f>
        <v/>
      </c>
      <c r="N341" s="6">
        <f>HYPERLINK("http://www.eum.go.kr/web/ar/lu/luLandDet.jsp?pnu=4311325032107040000&amp;isNoScr=script&amp;mode=search", "토지이음")</f>
        <v/>
      </c>
      <c r="O341" s="3" t="inlineStr">
        <is>
          <t>광장</t>
        </is>
      </c>
      <c r="P341" s="4" t="n">
        <v>1</v>
      </c>
      <c r="Q341" s="4" t="n">
        <v>548.8</v>
      </c>
      <c r="R341" s="3" t="inlineStr">
        <is>
          <t>지정되지않음</t>
        </is>
      </c>
      <c r="S341" s="3" t="inlineStr">
        <is>
          <t>상업기타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오송읍 정중리 704</t>
        </is>
      </c>
      <c r="B342" s="3" t="inlineStr">
        <is>
          <t>준공업지역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150000</v>
      </c>
      <c r="G342" s="4" t="n">
        <v>548</v>
      </c>
      <c r="H342" s="4" t="n">
        <v>166</v>
      </c>
      <c r="I342" s="5" t="n">
        <v>903.6</v>
      </c>
      <c r="J342" s="5" t="n">
        <v>347.1</v>
      </c>
      <c r="K342" s="3" t="inlineStr">
        <is>
          <t>오송 정중리 상가 신축 가능한 투자용지</t>
        </is>
      </c>
      <c r="L342" s="6">
        <f>HYPERLINK("https://fin.land.naver.com/articles/2647850811", "매물Link")</f>
        <v/>
      </c>
      <c r="M342" s="6">
        <f>HYPERLINK("https://map.naver.com/p/search/오송읍 정중리 704", "지도Link")</f>
        <v/>
      </c>
      <c r="N342" s="6">
        <f>HYPERLINK("http://www.eum.go.kr/web/ar/lu/luLandDet.jsp?pnu=4311325032107040000&amp;isNoScr=script&amp;mode=search", "토지이음")</f>
        <v/>
      </c>
      <c r="O342" s="3" t="inlineStr">
        <is>
          <t>성진</t>
        </is>
      </c>
      <c r="P342" s="4" t="n">
        <v>1</v>
      </c>
      <c r="Q342" s="4" t="n">
        <v>548.8</v>
      </c>
      <c r="R342" s="3" t="inlineStr">
        <is>
          <t>지정되지않음</t>
        </is>
      </c>
      <c r="S342" s="3" t="inlineStr">
        <is>
          <t>상업기타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오송읍 정중리 704</t>
        </is>
      </c>
      <c r="B343" s="3" t="inlineStr">
        <is>
          <t>준공업지역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166000</v>
      </c>
      <c r="G343" s="4" t="n">
        <v>548</v>
      </c>
      <c r="H343" s="4" t="n">
        <v>166</v>
      </c>
      <c r="I343" s="5" t="n">
        <v>1000</v>
      </c>
      <c r="J343" s="5" t="n">
        <v>347.1</v>
      </c>
      <c r="K343" s="3" t="inlineStr">
        <is>
          <t>오송 2산단 지원시설용지  아파트 인접한 대로변 토지 근생 건물등 가능</t>
        </is>
      </c>
      <c r="L343" s="6">
        <f>HYPERLINK("https://fin.land.naver.com/articles/2646670136", "매물Link")</f>
        <v/>
      </c>
      <c r="M343" s="6">
        <f>HYPERLINK("https://map.naver.com/p/search/오송읍 정중리 704", "지도Link")</f>
        <v/>
      </c>
      <c r="N343" s="6">
        <f>HYPERLINK("http://www.eum.go.kr/web/ar/lu/luLandDet.jsp?pnu=4311325032107040000&amp;isNoScr=script&amp;mode=search", "토지이음")</f>
        <v/>
      </c>
      <c r="O343" s="3" t="inlineStr">
        <is>
          <t>더원</t>
        </is>
      </c>
      <c r="P343" s="4" t="n">
        <v>3</v>
      </c>
      <c r="Q343" s="4" t="n">
        <v>548.8</v>
      </c>
      <c r="R343" s="3" t="inlineStr">
        <is>
          <t>지정되지않음</t>
        </is>
      </c>
      <c r="S343" s="3" t="inlineStr">
        <is>
          <t>상업기타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오송읍 정중리 707</t>
        </is>
      </c>
      <c r="B344" s="3" t="inlineStr">
        <is>
          <t>준공업지역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380000</v>
      </c>
      <c r="G344" s="4" t="n">
        <v>1143</v>
      </c>
      <c r="H344" s="4" t="n">
        <v>346</v>
      </c>
      <c r="I344" s="5" t="n">
        <v>1098.3</v>
      </c>
      <c r="J344" s="5" t="n">
        <v>407.6</v>
      </c>
      <c r="K344" s="3" t="inlineStr">
        <is>
          <t>오송 2산단 사거리 코너자리 지원시설용지</t>
        </is>
      </c>
      <c r="L344" s="6">
        <f>HYPERLINK("https://fin.land.naver.com/articles/2647618969", "매물Link")</f>
        <v/>
      </c>
      <c r="M344" s="6">
        <f>HYPERLINK("https://map.naver.com/p/search/오송읍 정중리 707", "지도Link")</f>
        <v/>
      </c>
      <c r="N344" s="6">
        <f>HYPERLINK("http://www.eum.go.kr/web/ar/lu/luLandDet.jsp?pnu=4311325032107070000&amp;isNoScr=script&amp;mode=search", "토지이음")</f>
        <v/>
      </c>
      <c r="O344" s="3" t="inlineStr">
        <is>
          <t>아임</t>
        </is>
      </c>
      <c r="P344" s="4" t="n">
        <v>1</v>
      </c>
      <c r="Q344" s="4" t="n">
        <v>558.8</v>
      </c>
      <c r="R344" s="3" t="inlineStr">
        <is>
          <t>지정되지않음</t>
        </is>
      </c>
      <c r="S344" s="3" t="inlineStr">
        <is>
          <t>상업기타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광대소각</t>
        </is>
      </c>
    </row>
    <row r="345">
      <c r="A345" s="3" t="inlineStr">
        <is>
          <t>오송읍 정중리 746</t>
        </is>
      </c>
      <c r="B345" s="3" t="inlineStr">
        <is>
          <t>준공업지역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215000</v>
      </c>
      <c r="G345" s="4" t="n">
        <v>639</v>
      </c>
      <c r="H345" s="4" t="n">
        <v>193</v>
      </c>
      <c r="I345" s="5" t="n">
        <v>1114</v>
      </c>
      <c r="J345" s="5" t="n">
        <v>388.1</v>
      </c>
      <c r="K345" s="3" t="inlineStr">
        <is>
          <t>3면코너 입지 입지 최상 건폐율70 6층이하 건축가능</t>
        </is>
      </c>
      <c r="L345" s="6">
        <f>HYPERLINK("https://fin.land.naver.com/articles/2649903725", "매물Link")</f>
        <v/>
      </c>
      <c r="M345" s="6">
        <f>HYPERLINK("https://map.naver.com/p/search/오송읍 정중리 746", "지도Link")</f>
        <v/>
      </c>
      <c r="N345" s="6">
        <f>HYPERLINK("http://www.eum.go.kr/web/ar/lu/luLandDet.jsp?pnu=4311325032107460000&amp;isNoScr=script&amp;mode=search", "토지이음")</f>
        <v/>
      </c>
      <c r="O345" s="3" t="inlineStr">
        <is>
          <t>프렌즈</t>
        </is>
      </c>
      <c r="P345" s="4" t="n">
        <v>1</v>
      </c>
      <c r="Q345" s="4" t="n">
        <v>639</v>
      </c>
      <c r="R345" s="3" t="inlineStr">
        <is>
          <t>지정되지않음</t>
        </is>
      </c>
      <c r="S345" s="3" t="inlineStr">
        <is>
          <t>상업기타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광대소각</t>
        </is>
      </c>
    </row>
    <row r="346">
      <c r="A346" s="3" t="inlineStr">
        <is>
          <t>오송읍 정중리 760</t>
        </is>
      </c>
      <c r="B346" s="3" t="inlineStr">
        <is>
          <t>준공업지역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225000</v>
      </c>
      <c r="G346" s="4" t="n">
        <v>559</v>
      </c>
      <c r="H346" s="4" t="n">
        <v>169</v>
      </c>
      <c r="I346" s="5" t="n">
        <v>1331.4</v>
      </c>
      <c r="J346" s="5" t="n">
        <v>407.6</v>
      </c>
      <c r="K346" s="3" t="inlineStr">
        <is>
          <t>오송 2산단  지원시설용지 코너각지,회사 사옥부지 적합</t>
        </is>
      </c>
      <c r="L346" s="6">
        <f>HYPERLINK("https://fin.land.naver.com/articles/2646727438", "매물Link")</f>
        <v/>
      </c>
      <c r="M346" s="6">
        <f>HYPERLINK("https://map.naver.com/p/search/오송읍 정중리 760", "지도Link")</f>
        <v/>
      </c>
      <c r="N346" s="6">
        <f>HYPERLINK("http://www.eum.go.kr/web/ar/lu/luLandDet.jsp?pnu=4311325032107600000&amp;isNoScr=script&amp;mode=search", "토지이음")</f>
        <v/>
      </c>
      <c r="O346" s="3" t="inlineStr">
        <is>
          <t>오송타운</t>
        </is>
      </c>
      <c r="P346" s="4" t="n">
        <v>1</v>
      </c>
      <c r="Q346" s="4" t="n">
        <v>559</v>
      </c>
      <c r="R346" s="3" t="inlineStr">
        <is>
          <t>지정되지않음</t>
        </is>
      </c>
      <c r="S346" s="3" t="inlineStr">
        <is>
          <t>상업기타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광대소각</t>
        </is>
      </c>
    </row>
    <row r="347">
      <c r="A347" s="3" t="inlineStr">
        <is>
          <t>오송읍 정중리 763</t>
        </is>
      </c>
      <c r="B347" s="3" t="inlineStr">
        <is>
          <t>준공업지역</t>
        </is>
      </c>
      <c r="C347" s="3" t="inlineStr">
        <is>
          <t>주차장</t>
        </is>
      </c>
      <c r="D347" s="3" t="inlineStr">
        <is>
          <t>대</t>
        </is>
      </c>
      <c r="E347" s="3" t="inlineStr">
        <is>
          <t>매매</t>
        </is>
      </c>
      <c r="F347" s="4" t="n">
        <v>230000</v>
      </c>
      <c r="G347" s="4" t="n">
        <v>1112</v>
      </c>
      <c r="H347" s="4" t="n">
        <v>336</v>
      </c>
      <c r="I347" s="5" t="n">
        <v>684.5</v>
      </c>
      <c r="J347" s="5" t="n">
        <v>179.5</v>
      </c>
      <c r="K347" s="3" t="inlineStr">
        <is>
          <t>산단 회식 수요 흡수하는 외식업 핵심 토지</t>
        </is>
      </c>
      <c r="L347" s="6">
        <f>HYPERLINK("https://fin.land.naver.com/articles/2646877471", "매물Link")</f>
        <v/>
      </c>
      <c r="M347" s="6">
        <f>HYPERLINK("https://map.naver.com/p/search/오송읍 정중리 763", "지도Link")</f>
        <v/>
      </c>
      <c r="N347" s="6">
        <f>HYPERLINK("http://www.eum.go.kr/web/ar/lu/luLandDet.jsp?pnu=4311325032107630000&amp;isNoScr=script&amp;mode=search", "토지이음")</f>
        <v/>
      </c>
      <c r="O347" s="3" t="inlineStr">
        <is>
          <t>우영</t>
        </is>
      </c>
      <c r="P347" s="4" t="n">
        <v>1</v>
      </c>
      <c r="Q347" s="4" t="n">
        <v>1112.9</v>
      </c>
      <c r="R347" s="3" t="inlineStr">
        <is>
          <t>지정되지않음</t>
        </is>
      </c>
      <c r="S347" s="3" t="inlineStr">
        <is>
          <t>주차장등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중로각지</t>
        </is>
      </c>
    </row>
    <row r="348">
      <c r="A348" s="3" t="inlineStr">
        <is>
          <t>오송읍 정중리 764</t>
        </is>
      </c>
      <c r="B348" s="3" t="inlineStr">
        <is>
          <t>준공업지역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125020</v>
      </c>
      <c r="G348" s="4" t="n">
        <v>590</v>
      </c>
      <c r="H348" s="4" t="n">
        <v>178</v>
      </c>
      <c r="I348" s="5" t="n">
        <v>702.4</v>
      </c>
      <c r="J348" s="5" t="n">
        <v>256.4</v>
      </c>
      <c r="K348" s="3" t="inlineStr">
        <is>
          <t>지금 잡아야 하는 오송 산단 배후 핵심 토지</t>
        </is>
      </c>
      <c r="L348" s="6">
        <f>HYPERLINK("https://fin.land.naver.com/articles/2646878988", "매물Link")</f>
        <v/>
      </c>
      <c r="M348" s="6">
        <f>HYPERLINK("https://map.naver.com/p/search/오송읍 정중리 764", "지도Link")</f>
        <v/>
      </c>
      <c r="N348" s="6">
        <f>HYPERLINK("http://www.eum.go.kr/web/ar/lu/luLandDet.jsp?pnu=4311325032107640000&amp;isNoScr=script&amp;mode=search", "토지이음")</f>
        <v/>
      </c>
      <c r="O348" s="3" t="inlineStr">
        <is>
          <t>우영</t>
        </is>
      </c>
      <c r="P348" s="4" t="n">
        <v>1</v>
      </c>
      <c r="Q348" s="4" t="n">
        <v>590.7</v>
      </c>
      <c r="R348" s="3" t="inlineStr">
        <is>
          <t>지정되지않음</t>
        </is>
      </c>
      <c r="S348" s="3" t="inlineStr">
        <is>
          <t>상업기타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중로한면</t>
        </is>
      </c>
    </row>
    <row r="349">
      <c r="A349" s="3" t="inlineStr">
        <is>
          <t>오송읍 정중리 768</t>
        </is>
      </c>
      <c r="B349" s="3" t="inlineStr">
        <is>
          <t>준공업지역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105000</v>
      </c>
      <c r="G349" s="4" t="n">
        <v>590</v>
      </c>
      <c r="H349" s="4" t="n">
        <v>178</v>
      </c>
      <c r="I349" s="5" t="n">
        <v>589.9</v>
      </c>
      <c r="J349" s="5" t="n">
        <v>256.4</v>
      </c>
      <c r="K349" s="3" t="inlineStr">
        <is>
          <t>지원시설용지 매매</t>
        </is>
      </c>
      <c r="L349" s="6">
        <f>HYPERLINK("https://fin.land.naver.com/articles/2646658303", "매물Link")</f>
        <v/>
      </c>
      <c r="M349" s="6">
        <f>HYPERLINK("https://map.naver.com/p/search/오송읍 정중리 768", "지도Link")</f>
        <v/>
      </c>
      <c r="N349" s="6">
        <f>HYPERLINK("http://www.eum.go.kr/web/ar/lu/luLandDet.jsp?pnu=4311325032107680000&amp;isNoScr=script&amp;mode=search", "토지이음")</f>
        <v/>
      </c>
      <c r="O349" s="3" t="inlineStr">
        <is>
          <t>대한민국</t>
        </is>
      </c>
      <c r="P349" s="4" t="n">
        <v>1</v>
      </c>
      <c r="Q349" s="4" t="n">
        <v>590.3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중로한면</t>
        </is>
      </c>
    </row>
    <row r="350">
      <c r="A350" s="3" t="inlineStr">
        <is>
          <t>오송읍 정중리 768</t>
        </is>
      </c>
      <c r="B350" s="3" t="inlineStr">
        <is>
          <t>준공업지역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105000</v>
      </c>
      <c r="G350" s="4" t="n">
        <v>590</v>
      </c>
      <c r="H350" s="4" t="n">
        <v>178</v>
      </c>
      <c r="I350" s="5" t="n">
        <v>589.9</v>
      </c>
      <c r="J350" s="5" t="n">
        <v>256.4</v>
      </c>
      <c r="K350" s="3" t="inlineStr">
        <is>
          <t>nan</t>
        </is>
      </c>
      <c r="L350" s="6">
        <f>HYPERLINK("https://fin.land.naver.com/articles/2646195570", "매물Link")</f>
        <v/>
      </c>
      <c r="M350" s="6">
        <f>HYPERLINK("https://map.naver.com/p/search/오송읍 정중리 768", "지도Link")</f>
        <v/>
      </c>
      <c r="N350" s="6">
        <f>HYPERLINK("http://www.eum.go.kr/web/ar/lu/luLandDet.jsp?pnu=4311325032107680000&amp;isNoScr=script&amp;mode=search", "토지이음")</f>
        <v/>
      </c>
      <c r="O350" s="3" t="inlineStr">
        <is>
          <t>동행사무소</t>
        </is>
      </c>
      <c r="P350" s="4" t="n">
        <v>1</v>
      </c>
      <c r="Q350" s="4" t="n">
        <v>590.3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중로한면</t>
        </is>
      </c>
    </row>
    <row r="351">
      <c r="A351" s="3" t="inlineStr">
        <is>
          <t>오송읍 정중리 768</t>
        </is>
      </c>
      <c r="B351" s="3" t="inlineStr">
        <is>
          <t>준공업지역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125000</v>
      </c>
      <c r="G351" s="4" t="n">
        <v>590</v>
      </c>
      <c r="H351" s="4" t="n">
        <v>178</v>
      </c>
      <c r="I351" s="5" t="n">
        <v>702.2</v>
      </c>
      <c r="J351" s="5" t="n">
        <v>256.4</v>
      </c>
      <c r="K351" s="3" t="inlineStr">
        <is>
          <t>오송2산단내 아파트 대단지 옆 지원시설용지 급매</t>
        </is>
      </c>
      <c r="L351" s="6">
        <f>HYPERLINK("https://fin.land.naver.com/articles/2650390157", "매물Link")</f>
        <v/>
      </c>
      <c r="M351" s="6">
        <f>HYPERLINK("https://map.naver.com/p/search/오송읍 정중리 768", "지도Link")</f>
        <v/>
      </c>
      <c r="N351" s="6">
        <f>HYPERLINK("http://www.eum.go.kr/web/ar/lu/luLandDet.jsp?pnu=4311325032107680000&amp;isNoScr=script&amp;mode=search", "토지이음")</f>
        <v/>
      </c>
      <c r="O351" s="3" t="inlineStr">
        <is>
          <t>아임</t>
        </is>
      </c>
      <c r="P351" s="4" t="n">
        <v>4</v>
      </c>
      <c r="Q351" s="4" t="n">
        <v>590.3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중로한면</t>
        </is>
      </c>
    </row>
    <row r="352">
      <c r="A352" s="3" t="inlineStr">
        <is>
          <t>오송읍 정중리 770</t>
        </is>
      </c>
      <c r="B352" s="3" t="inlineStr">
        <is>
          <t>준공업지역</t>
        </is>
      </c>
      <c r="C352" s="3" t="inlineStr">
        <is>
          <t>주차장</t>
        </is>
      </c>
      <c r="D352" s="3" t="inlineStr">
        <is>
          <t>대</t>
        </is>
      </c>
      <c r="E352" s="3" t="inlineStr">
        <is>
          <t>매매</t>
        </is>
      </c>
      <c r="F352" s="4" t="n">
        <v>202020</v>
      </c>
      <c r="G352" s="4" t="n">
        <v>1113</v>
      </c>
      <c r="H352" s="4" t="n">
        <v>337</v>
      </c>
      <c r="I352" s="5" t="n">
        <v>599.5</v>
      </c>
      <c r="J352" s="5" t="n">
        <v>179.5</v>
      </c>
      <c r="K352" s="3" t="inlineStr">
        <is>
          <t>지금 아니면 어려운 오송 산단 인접 수익 토지</t>
        </is>
      </c>
      <c r="L352" s="6">
        <f>HYPERLINK("https://fin.land.naver.com/articles/2646878317", "매물Link")</f>
        <v/>
      </c>
      <c r="M352" s="6">
        <f>HYPERLINK("https://map.naver.com/p/search/오송읍 정중리 770", "지도Link")</f>
        <v/>
      </c>
      <c r="N352" s="6">
        <f>HYPERLINK("http://www.eum.go.kr/web/ar/lu/luLandDet.jsp?pnu=4311325032107700000&amp;isNoScr=script&amp;mode=search", "토지이음")</f>
        <v/>
      </c>
      <c r="O352" s="3" t="inlineStr">
        <is>
          <t>우영</t>
        </is>
      </c>
      <c r="P352" s="4" t="n">
        <v>1</v>
      </c>
      <c r="Q352" s="4" t="n">
        <v>1113.2</v>
      </c>
      <c r="R352" s="3" t="inlineStr">
        <is>
          <t>지정되지않음</t>
        </is>
      </c>
      <c r="S352" s="3" t="inlineStr">
        <is>
          <t>주차장등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중로각지</t>
        </is>
      </c>
    </row>
    <row r="353">
      <c r="A353" s="3" t="inlineStr">
        <is>
          <t>오송읍 정중리 776</t>
        </is>
      </c>
      <c r="B353" s="3" t="inlineStr">
        <is>
          <t>준공업지역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125020</v>
      </c>
      <c r="G353" s="4" t="n">
        <v>590</v>
      </c>
      <c r="H353" s="4" t="n">
        <v>178</v>
      </c>
      <c r="I353" s="5" t="n">
        <v>702.4</v>
      </c>
      <c r="J353" s="5" t="n">
        <v>256.4</v>
      </c>
      <c r="K353" s="3" t="inlineStr">
        <is>
          <t>오송 산단 근무자 몰리는 임대사업 최적 입지</t>
        </is>
      </c>
      <c r="L353" s="6">
        <f>HYPERLINK("https://fin.land.naver.com/articles/2646878768", "매물Link")</f>
        <v/>
      </c>
      <c r="M353" s="6">
        <f>HYPERLINK("https://map.naver.com/p/search/오송읍 정중리 776", "지도Link")</f>
        <v/>
      </c>
      <c r="N353" s="6">
        <f>HYPERLINK("http://www.eum.go.kr/web/ar/lu/luLandDet.jsp?pnu=4311325032107760000&amp;isNoScr=script&amp;mode=search", "토지이음")</f>
        <v/>
      </c>
      <c r="O353" s="3" t="inlineStr">
        <is>
          <t>우영</t>
        </is>
      </c>
      <c r="P353" s="4" t="n">
        <v>1</v>
      </c>
      <c r="Q353" s="4" t="n">
        <v>590.6</v>
      </c>
      <c r="R353" s="3" t="inlineStr">
        <is>
          <t>지정되지않음</t>
        </is>
      </c>
      <c r="S353" s="3" t="inlineStr">
        <is>
          <t>상업기타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중로한면</t>
        </is>
      </c>
    </row>
    <row r="354">
      <c r="A354" s="3" t="inlineStr">
        <is>
          <t>오송읍 호계리 143-1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39845</v>
      </c>
      <c r="G354" s="4" t="n">
        <v>2026</v>
      </c>
      <c r="H354" s="4" t="n">
        <v>613</v>
      </c>
      <c r="I354" s="5" t="n">
        <v>65</v>
      </c>
      <c r="J354" s="5" t="n">
        <v>30.4</v>
      </c>
      <c r="K354" s="3" t="inlineStr">
        <is>
          <t>도로에 접해 주말농장 최상, 개발호재 핫한 오송시 위치 투자가치 최상</t>
        </is>
      </c>
      <c r="L354" s="6">
        <f>HYPERLINK("https://fin.land.naver.com/articles/2650397039", "매물Link")</f>
        <v/>
      </c>
      <c r="M354" s="6">
        <f>HYPERLINK("https://map.naver.com/p/search/오송읍 호계리 143-1", "지도Link")</f>
        <v/>
      </c>
      <c r="N354" s="6">
        <f>HYPERLINK("http://www.eum.go.kr/web/ar/lu/luLandDet.jsp?pnu=4311325021101430001&amp;isNoScr=script&amp;mode=search", "토지이음")</f>
        <v/>
      </c>
      <c r="O354" s="3" t="inlineStr">
        <is>
          <t>대한</t>
        </is>
      </c>
      <c r="P354" s="4" t="n">
        <v>1</v>
      </c>
      <c r="Q354" s="4" t="n">
        <v>2059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오송읍 호계리 152-1</t>
        </is>
      </c>
      <c r="B355" s="3" t="inlineStr">
        <is>
          <t>계획관리지역</t>
        </is>
      </c>
      <c r="C355" s="3" t="inlineStr">
        <is>
          <t>답</t>
        </is>
      </c>
      <c r="D355" s="3" t="inlineStr">
        <is>
          <t>답</t>
        </is>
      </c>
      <c r="E355" s="3" t="inlineStr">
        <is>
          <t>매매</t>
        </is>
      </c>
      <c r="F355" s="4" t="n">
        <v>53500</v>
      </c>
      <c r="G355" s="4" t="n">
        <v>1359</v>
      </c>
      <c r="H355" s="4" t="n">
        <v>411</v>
      </c>
      <c r="I355" s="5" t="n">
        <v>130.2</v>
      </c>
      <c r="J355" s="5" t="n">
        <v>39.1</v>
      </c>
      <c r="K355" s="3" t="inlineStr">
        <is>
          <t>급매, 시세 대비 매우 저렴, 4미터 도로에 접하고 있는 계획관리 토지</t>
        </is>
      </c>
      <c r="L355" s="6">
        <f>HYPERLINK("https://fin.land.naver.com/articles/2647466833", "매물Link")</f>
        <v/>
      </c>
      <c r="M355" s="6">
        <f>HYPERLINK("https://map.naver.com/p/search/오송읍 호계리 152-1", "지도Link")</f>
        <v/>
      </c>
      <c r="N355" s="6">
        <f>HYPERLINK("http://www.eum.go.kr/web/ar/lu/luLandDet.jsp?pnu=4311325021101520001&amp;isNoScr=script&amp;mode=search", "토지이음")</f>
        <v/>
      </c>
      <c r="O355" s="3" t="inlineStr">
        <is>
          <t>제이</t>
        </is>
      </c>
      <c r="P355" s="4" t="n">
        <v>1</v>
      </c>
      <c r="Q355" s="4" t="n">
        <v>962</v>
      </c>
      <c r="R355" s="3" t="inlineStr">
        <is>
          <t>지정되지않음</t>
        </is>
      </c>
      <c r="S355" s="3" t="inlineStr">
        <is>
          <t>답</t>
        </is>
      </c>
      <c r="T355" s="3" t="inlineStr">
        <is>
          <t>평지</t>
        </is>
      </c>
      <c r="U355" s="3" t="inlineStr">
        <is>
          <t>부정형</t>
        </is>
      </c>
      <c r="V355" s="3" t="inlineStr">
        <is>
          <t>세로각지(가)</t>
        </is>
      </c>
    </row>
    <row r="356">
      <c r="A356" s="3" t="inlineStr">
        <is>
          <t>오송읍 호계리 153-1</t>
        </is>
      </c>
      <c r="B356" s="3" t="inlineStr">
        <is>
          <t>계획관리지역</t>
        </is>
      </c>
      <c r="C356" s="3" t="inlineStr">
        <is>
          <t>답</t>
        </is>
      </c>
      <c r="D356" s="3" t="inlineStr">
        <is>
          <t>답</t>
        </is>
      </c>
      <c r="E356" s="3" t="inlineStr">
        <is>
          <t>매매</t>
        </is>
      </c>
      <c r="F356" s="4" t="n">
        <v>53500</v>
      </c>
      <c r="G356" s="4" t="n">
        <v>1359</v>
      </c>
      <c r="H356" s="4" t="n">
        <v>411</v>
      </c>
      <c r="I356" s="5" t="n">
        <v>130.2</v>
      </c>
      <c r="J356" s="5" t="n">
        <v>40.1</v>
      </c>
      <c r="K356" s="3" t="inlineStr">
        <is>
          <t>4M도로에 접함 투자및 공장추천 2필지</t>
        </is>
      </c>
      <c r="L356" s="6">
        <f>HYPERLINK("https://fin.land.naver.com/articles/2650428790", "매물Link")</f>
        <v/>
      </c>
      <c r="M356" s="6">
        <f>HYPERLINK("https://map.naver.com/p/search/오송읍 호계리 153-1", "지도Link")</f>
        <v/>
      </c>
      <c r="N356" s="6">
        <f>HYPERLINK("http://www.eum.go.kr/web/ar/lu/luLandDet.jsp?pnu=4311325021101530001&amp;isNoScr=script&amp;mode=search", "토지이음")</f>
        <v/>
      </c>
      <c r="O356" s="3" t="inlineStr">
        <is>
          <t>플러스태양</t>
        </is>
      </c>
      <c r="P356" s="4" t="n">
        <v>1</v>
      </c>
      <c r="Q356" s="4" t="n">
        <v>397</v>
      </c>
      <c r="R356" s="3" t="inlineStr">
        <is>
          <t>지정되지않음</t>
        </is>
      </c>
      <c r="S356" s="3" t="inlineStr">
        <is>
          <t>답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오송읍 호계리 155-1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답</t>
        </is>
      </c>
      <c r="E357" s="3" t="inlineStr">
        <is>
          <t>매매</t>
        </is>
      </c>
      <c r="F357" s="4" t="n">
        <v>195800</v>
      </c>
      <c r="G357" s="4" t="n">
        <v>2943</v>
      </c>
      <c r="H357" s="4" t="n">
        <v>890</v>
      </c>
      <c r="I357" s="5" t="n">
        <v>220</v>
      </c>
      <c r="J357" s="5" t="n">
        <v>38.1</v>
      </c>
      <c r="K357" s="3" t="inlineStr">
        <is>
          <t>오송읍, 호계리, 계획관리지역, 5m 도로 접한 토지</t>
        </is>
      </c>
      <c r="L357" s="6">
        <f>HYPERLINK("https://fin.land.naver.com/articles/2646734024", "매물Link")</f>
        <v/>
      </c>
      <c r="M357" s="6">
        <f>HYPERLINK("https://map.naver.com/p/search/오송읍 호계리 155-1", "지도Link")</f>
        <v/>
      </c>
      <c r="N357" s="6">
        <f>HYPERLINK("http://www.eum.go.kr/web/ar/lu/luLandDet.jsp?pnu=4311325021101550001&amp;isNoScr=script&amp;mode=search", "토지이음")</f>
        <v/>
      </c>
      <c r="O357" s="3" t="inlineStr">
        <is>
          <t>올바른</t>
        </is>
      </c>
      <c r="P357" s="4" t="n">
        <v>1</v>
      </c>
      <c r="Q357" s="4" t="n">
        <v>2943</v>
      </c>
      <c r="R357" s="3" t="inlineStr">
        <is>
          <t>지정되지않음</t>
        </is>
      </c>
      <c r="S357" s="3" t="inlineStr">
        <is>
          <t>답</t>
        </is>
      </c>
      <c r="T357" s="3" t="inlineStr">
        <is>
          <t>평지</t>
        </is>
      </c>
      <c r="U357" s="3" t="inlineStr">
        <is>
          <t>부정형</t>
        </is>
      </c>
      <c r="V357" s="3" t="inlineStr">
        <is>
          <t>세로한면(가)</t>
        </is>
      </c>
    </row>
    <row r="358">
      <c r="A358" s="3" t="inlineStr">
        <is>
          <t>오송읍 호계리 224-2</t>
        </is>
      </c>
      <c r="B358" s="3" t="inlineStr">
        <is>
          <t>생산관리지역</t>
        </is>
      </c>
      <c r="C358" s="3" t="inlineStr">
        <is>
          <t>답</t>
        </is>
      </c>
      <c r="D358" s="3" t="inlineStr">
        <is>
          <t>답</t>
        </is>
      </c>
      <c r="E358" s="3" t="inlineStr">
        <is>
          <t>매매</t>
        </is>
      </c>
      <c r="F358" s="4" t="n">
        <v>49000</v>
      </c>
      <c r="G358" s="4" t="n">
        <v>899</v>
      </c>
      <c r="H358" s="4" t="n">
        <v>272</v>
      </c>
      <c r="I358" s="5" t="n">
        <v>180.1</v>
      </c>
      <c r="J358" s="5" t="n">
        <v>51.1</v>
      </c>
      <c r="K358" s="3" t="inlineStr">
        <is>
          <t>2 배의 가치 2 배의 넓은 땅 사용 가능 토지  생산 관리 지역</t>
        </is>
      </c>
      <c r="L358" s="6">
        <f>HYPERLINK("https://fin.land.naver.com/articles/2648940037", "매물Link")</f>
        <v/>
      </c>
      <c r="M358" s="6">
        <f>HYPERLINK("https://map.naver.com/p/search/오송읍 호계리 224-2", "지도Link")</f>
        <v/>
      </c>
      <c r="N358" s="6">
        <f>HYPERLINK("http://www.eum.go.kr/web/ar/lu/luLandDet.jsp?pnu=4311325021102240002&amp;isNoScr=script&amp;mode=search", "토지이음")</f>
        <v/>
      </c>
      <c r="O358" s="3" t="inlineStr">
        <is>
          <t>오송퍼스트영웅</t>
        </is>
      </c>
      <c r="P358" s="4" t="n">
        <v>1</v>
      </c>
      <c r="Q358" s="4" t="n">
        <v>899</v>
      </c>
      <c r="R358" s="3" t="inlineStr">
        <is>
          <t>지정되지않음</t>
        </is>
      </c>
      <c r="S358" s="3" t="inlineStr">
        <is>
          <t>답기타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중로한면</t>
        </is>
      </c>
    </row>
    <row r="359">
      <c r="A359" s="3" t="inlineStr">
        <is>
          <t>오송읍 호계리 230-3</t>
        </is>
      </c>
      <c r="B359" s="3" t="inlineStr">
        <is>
          <t>농림지역</t>
        </is>
      </c>
      <c r="C359" s="3" t="inlineStr">
        <is>
          <t>답</t>
        </is>
      </c>
      <c r="D359" s="3" t="inlineStr">
        <is>
          <t>답</t>
        </is>
      </c>
      <c r="E359" s="3" t="inlineStr">
        <is>
          <t>매매</t>
        </is>
      </c>
      <c r="F359" s="4" t="n">
        <v>29000</v>
      </c>
      <c r="G359" s="4" t="n">
        <v>1595</v>
      </c>
      <c r="H359" s="4" t="n">
        <v>482</v>
      </c>
      <c r="I359" s="5" t="n">
        <v>60.2</v>
      </c>
      <c r="J359" s="5" t="n">
        <v>32.4</v>
      </c>
      <c r="K359" s="3" t="inlineStr">
        <is>
          <t>호계리 토지 매매.</t>
        </is>
      </c>
      <c r="L359" s="6">
        <f>HYPERLINK("https://fin.land.naver.com/articles/2646658326", "매물Link")</f>
        <v/>
      </c>
      <c r="M359" s="6">
        <f>HYPERLINK("https://map.naver.com/p/search/오송읍 호계리 230-3", "지도Link")</f>
        <v/>
      </c>
      <c r="N359" s="6">
        <f>HYPERLINK("http://www.eum.go.kr/web/ar/lu/luLandDet.jsp?pnu=4311325021102300003&amp;isNoScr=script&amp;mode=search", "토지이음")</f>
        <v/>
      </c>
      <c r="O359" s="3" t="inlineStr">
        <is>
          <t>대한민국</t>
        </is>
      </c>
      <c r="P359" s="4" t="n">
        <v>1</v>
      </c>
      <c r="Q359" s="4" t="n">
        <v>1595</v>
      </c>
      <c r="R359" s="3" t="inlineStr">
        <is>
          <t>지정되지않음</t>
        </is>
      </c>
      <c r="S359" s="3" t="inlineStr">
        <is>
          <t>답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오송읍 호계리 50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90000</v>
      </c>
      <c r="G360" s="4" t="n">
        <v>1927</v>
      </c>
      <c r="H360" s="4" t="n">
        <v>583</v>
      </c>
      <c r="I360" s="5" t="n">
        <v>154.4</v>
      </c>
      <c r="J360" s="5" t="n">
        <v>40.1</v>
      </c>
      <c r="K360" s="3" t="inlineStr">
        <is>
          <t>오송읍 호계리 산과 인접한 전원주택부지</t>
        </is>
      </c>
      <c r="L360" s="6">
        <f>HYPERLINK("https://fin.land.naver.com/articles/2647515900", "매물Link")</f>
        <v/>
      </c>
      <c r="M360" s="6">
        <f>HYPERLINK("https://map.naver.com/p/search/오송읍 호계리 50", "지도Link")</f>
        <v/>
      </c>
      <c r="N360" s="6">
        <f>HYPERLINK("http://www.eum.go.kr/web/ar/lu/luLandDet.jsp?pnu=4311325021100500000&amp;isNoScr=script&amp;mode=search", "토지이음")</f>
        <v/>
      </c>
      <c r="O360" s="3" t="inlineStr">
        <is>
          <t>새벽무소</t>
        </is>
      </c>
      <c r="P360" s="4" t="n">
        <v>1</v>
      </c>
      <c r="Q360" s="4" t="n">
        <v>1927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오송읍 호계리 7-6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28500</v>
      </c>
      <c r="G361" s="4" t="n">
        <v>627</v>
      </c>
      <c r="H361" s="4" t="n">
        <v>190</v>
      </c>
      <c r="I361" s="5" t="n">
        <v>150</v>
      </c>
      <c r="J361" s="5" t="n">
        <v>39</v>
      </c>
      <c r="K361" s="3" t="inlineStr">
        <is>
          <t>전원주택지</t>
        </is>
      </c>
      <c r="L361" s="6">
        <f>HYPERLINK("https://fin.land.naver.com/articles/2649702438", "매물Link")</f>
        <v/>
      </c>
      <c r="M361" s="6">
        <f>HYPERLINK("https://map.naver.com/p/search/오송읍 호계리 7-6", "지도Link")</f>
        <v/>
      </c>
      <c r="N361" s="6">
        <f>HYPERLINK("http://www.eum.go.kr/web/ar/lu/luLandDet.jsp?pnu=4311325021100070006&amp;isNoScr=script&amp;mode=search", "토지이음")</f>
        <v/>
      </c>
      <c r="O361" s="3" t="inlineStr">
        <is>
          <t>금송</t>
        </is>
      </c>
      <c r="P361" s="4" t="n">
        <v>1</v>
      </c>
      <c r="Q361" s="4" t="n">
        <v>627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</sheetData>
  <autoFilter ref="A1:V3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평공시가</t>
        </is>
      </c>
      <c r="U1" s="2" t="inlineStr">
        <is>
          <t>토지면적</t>
        </is>
      </c>
      <c r="V1" s="2" t="inlineStr">
        <is>
          <t>용도지역명2</t>
        </is>
      </c>
      <c r="W1" s="2" t="inlineStr">
        <is>
          <t>토지이용상황</t>
        </is>
      </c>
      <c r="X1" s="2" t="inlineStr">
        <is>
          <t>지형높이</t>
        </is>
      </c>
      <c r="Y1" s="2" t="inlineStr">
        <is>
          <t>지형형상</t>
        </is>
      </c>
      <c r="Z1" s="2" t="inlineStr">
        <is>
          <t>도로접면</t>
        </is>
      </c>
    </row>
  </sheetData>
  <autoFilter ref="A1:Z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2026-09-19T19:50:09Z</dcterms:created>
  <dcterms:modified xsi:type="dcterms:W3CDTF">2026-09-19T19:50:13Z</dcterms:modified>
</cp:coreProperties>
</file>