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'주택매물'!$A$1:$AA$299</definedName>
    <definedName name="_xlnm._FilterDatabase" localSheetId="2" hidden="1">'토지매물'!$A$1:$V$1569</definedName>
    <definedName name="_xlnm._FilterDatabase" localSheetId="3" hidden="1">'국토부_실거래원본'!$A$1:$A$2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131400</v>
      </c>
      <c r="H28" s="4" t="n">
        <v>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68</v>
      </c>
      <c r="N28" s="5" t="n">
        <v>1932.4</v>
      </c>
      <c r="O28" s="3" t="inlineStr">
        <is>
          <t>아르티엠 더블랙 선임대 완료 급매</t>
        </is>
      </c>
      <c r="P28" s="6">
        <f>HYPERLINK("https://fin.land.naver.com/articles/2645308747",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HYPERLINK("https://fin.land.naver.com/articles/2644917554",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158000</v>
      </c>
      <c r="H30" s="4" t="n">
        <v>0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77</v>
      </c>
      <c r="N30" s="5" t="n">
        <v>2051.9</v>
      </c>
      <c r="O30" s="3" t="inlineStr">
        <is>
          <t>아르티엠 더블랙 C타입 선임대 완료 급매</t>
        </is>
      </c>
      <c r="P30" s="6">
        <f>HYPERLINK("https://fin.land.naver.com/articles/2645308739",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입지좋은 타운하우스매매, C타입, 온빛초, 정남향</t>
        </is>
      </c>
      <c r="P40" s="6">
        <f>HYPERLINK("https://fin.land.naver.com/articles/2648836117",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세종황소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가격조정가능 고운동한옥마을단독주택</t>
        </is>
      </c>
      <c r="P45" s="6">
        <f>HYPERLINK("https://fin.land.naver.com/articles/2647772478",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새롬스마트</t>
        </is>
      </c>
      <c r="T45" s="4" t="n">
        <v>1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nan</t>
        </is>
      </c>
      <c r="P48" s="6">
        <f>HYPERLINK("https://fin.land.naver.com/articles/2646479321",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HYPERLINK("https://fin.land.naver.com/articles/2647856000",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HYPERLINK("https://fin.land.naver.com/articles/2646028838",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52</v>
      </c>
      <c r="N57" s="5" t="n">
        <v>2222.7</v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102000</v>
      </c>
      <c r="H60" s="4" t="n">
        <v>0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52</v>
      </c>
      <c r="N60" s="5" t="n">
        <v>1961.5</v>
      </c>
      <c r="O60" s="3" t="inlineStr">
        <is>
          <t>마이너스 급매 추천매물. 전세끼고매매</t>
        </is>
      </c>
      <c r="P60" s="6">
        <f>HYPERLINK("https://fin.land.naver.com/articles/2646028720",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59</v>
      </c>
      <c r="N63" s="5" t="n">
        <v>2033.9</v>
      </c>
      <c r="O63" s="3" t="inlineStr">
        <is>
          <t>nan</t>
        </is>
      </c>
      <c r="P63" s="6">
        <f>HYPERLINK("https://fin.land.naver.com/articles/2643971901",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전용 89p, 조율가능, 급매물, 2세대가능, 전세도가능</t>
        </is>
      </c>
      <c r="P74" s="6">
        <f>HYPERLINK("https://fin.land.naver.com/articles/2648836474",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세종무지개</t>
        </is>
      </c>
      <c r="T74" s="4" t="n">
        <v>2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HYPERLINK("https://fin.land.naver.com/articles/2644037373",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전용60.3p, 방4개, 화장실4개, 입지 좋은 단독주택</t>
        </is>
      </c>
      <c r="P79" s="6">
        <f>HYPERLINK("https://fin.land.naver.com/articles/2648833272",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33</v>
      </c>
      <c r="N82" s="5" t="n">
        <v>3636.4</v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6">
        <f>HYPERLINK("http://www.eum.go.kr/web/ar/lu/luLandDet.jsp?pnu=3611033028102340005&amp;isNoScr=script&amp;mode=search", "토지이음")</f>
        <v/>
      </c>
      <c r="S82" s="3" t="inlineStr">
        <is>
          <t>한얼</t>
        </is>
      </c>
      <c r="T82" s="4" t="n">
        <v>1</v>
      </c>
      <c r="U82" s="5" t="n">
        <v>89.90000000000001</v>
      </c>
      <c r="V82" s="4" t="n">
        <v>939</v>
      </c>
      <c r="W82" s="3" t="inlineStr">
        <is>
          <t>지정되지않음</t>
        </is>
      </c>
      <c r="X82" s="3" t="inlineStr">
        <is>
          <t>주거기타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28</v>
      </c>
      <c r="N85" s="5" t="n">
        <v>1964.3</v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6">
        <f>HYPERLINK("http://www.eum.go.kr/web/ar/lu/luLandDet.jsp?pnu=3611033028106130000&amp;isNoScr=script&amp;mode=search", "토지이음")</f>
        <v/>
      </c>
      <c r="S85" s="3" t="inlineStr">
        <is>
          <t>드림</t>
        </is>
      </c>
      <c r="T85" s="4" t="n">
        <v>1</v>
      </c>
      <c r="U85" s="5" t="n">
        <v>88</v>
      </c>
      <c r="V85" s="4" t="n">
        <v>679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21</v>
      </c>
      <c r="N86" s="5" t="n">
        <v>1666.7</v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6">
        <f>HYPERLINK("http://www.eum.go.kr/web/ar/lu/luLandDet.jsp?pnu=3611033028107120016&amp;isNoScr=script&amp;mode=search",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94.5</v>
      </c>
      <c r="V86" s="4" t="n">
        <v>379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27</v>
      </c>
      <c r="N87" s="5" t="n">
        <v>2222.2</v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6">
        <f>HYPERLINK("http://www.eum.go.kr/web/ar/lu/luLandDet.jsp?pnu=3611033027103070000&amp;isNoScr=script&amp;mode=search", "토지이음")</f>
        <v/>
      </c>
      <c r="S87" s="3" t="inlineStr">
        <is>
          <t>좋은</t>
        </is>
      </c>
      <c r="T87" s="4" t="n">
        <v>1</v>
      </c>
      <c r="U87" s="5" t="n">
        <v>40.6</v>
      </c>
      <c r="V87" s="4" t="n">
        <v>340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자루형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10</v>
      </c>
      <c r="N90" s="5" t="n">
        <v>3.7</v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6">
        <f>HYPERLINK("http://www.eum.go.kr/web/ar/lu/luLandDet.jsp?pnu=3611033021104190014&amp;isNoScr=script&amp;mode=search", "토지이음")</f>
        <v/>
      </c>
      <c r="S90" s="3" t="inlineStr">
        <is>
          <t>부강대박</t>
        </is>
      </c>
      <c r="T90" s="4" t="n">
        <v>1</v>
      </c>
      <c r="U90" s="5" t="n">
        <v>239.6</v>
      </c>
      <c r="V90" s="4" t="n">
        <v>317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10</v>
      </c>
      <c r="N91" s="5" t="n">
        <v>4.5</v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6">
        <f>HYPERLINK("http://www.eum.go.kr/web/ar/lu/luLandDet.jsp?pnu=3611033021104250009&amp;isNoScr=script&amp;mode=search",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256.5</v>
      </c>
      <c r="V91" s="4" t="n">
        <v>294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다가구</t>
        </is>
      </c>
      <c r="F94" s="3" t="inlineStr">
        <is>
          <t>전세</t>
        </is>
      </c>
      <c r="G94" s="4" t="n">
        <v>5000</v>
      </c>
      <c r="H94" s="4" t="n">
        <v>0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11</v>
      </c>
      <c r="N94" s="5" t="n">
        <v>454.5</v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5</v>
      </c>
      <c r="N95" s="5" t="n">
        <v>6.4</v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6">
        <f>HYPERLINK("http://www.eum.go.kr/web/ar/lu/luLandDet.jsp?pnu=3611033021109390000&amp;isNoScr=script&amp;mode=search", "토지이음")</f>
        <v/>
      </c>
      <c r="S95" s="3" t="inlineStr">
        <is>
          <t>세종행복한</t>
        </is>
      </c>
      <c r="T95" s="4" t="n">
        <v>1</v>
      </c>
      <c r="U95" s="5" t="n">
        <v>204.4</v>
      </c>
      <c r="V95" s="4" t="n">
        <v>285</v>
      </c>
      <c r="W95" s="3" t="inlineStr">
        <is>
          <t>지정되지않음</t>
        </is>
      </c>
      <c r="X95" s="3" t="inlineStr">
        <is>
          <t>연립</t>
        </is>
      </c>
      <c r="Y95" s="3" t="inlineStr">
        <is>
          <t>평지</t>
        </is>
      </c>
      <c r="Z95" s="3" t="inlineStr">
        <is>
          <t>부정형</t>
        </is>
      </c>
      <c r="AA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3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15</v>
      </c>
      <c r="N96" s="5" t="n">
        <v>3</v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6">
        <f>HYPERLINK("http://www.eum.go.kr/web/ar/lu/luLandDet.jsp?pnu=3611033021109420002&amp;isNoScr=script&amp;mode=search",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195.4</v>
      </c>
      <c r="V96" s="4" t="n">
        <v>385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47</v>
      </c>
      <c r="N98" s="5" t="n">
        <v>2978.7</v>
      </c>
      <c r="O98" s="3" t="inlineStr">
        <is>
          <t>교통편리한 세종 아름동 주택가, 서울세종고속도로,국도1호선, 세종외곽도로</t>
        </is>
      </c>
      <c r="P98" s="6">
        <f>HYPERLINK("https://fin.land.naver.com/articles/2643990747",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아름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주택 에어컨5개 마당있고 편안한 주택매물입니다.</t>
        </is>
      </c>
      <c r="P105" s="6">
        <f>HYPERLINK("https://fin.land.naver.com/articles/2648169316",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세석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인서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THE행복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62</v>
      </c>
      <c r="N110" s="5" t="n">
        <v>2338.7</v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6">
        <f>HYPERLINK("http://www.eum.go.kr/web/ar/lu/luLandDet.jsp?pnu=3611011300114080000&amp;isNoScr=script&amp;mode=search", "토지이음")</f>
        <v/>
      </c>
      <c r="S110" s="3" t="inlineStr">
        <is>
          <t>주황푸르지오</t>
        </is>
      </c>
      <c r="T110" s="4" t="n">
        <v>1</v>
      </c>
      <c r="U110" s="5" t="n">
        <v>338.2</v>
      </c>
      <c r="V110" s="4" t="n">
        <v>303.7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 리모델링. 풀에어컨, 코너 입지</t>
        </is>
      </c>
      <c r="P111" s="6">
        <f>HYPERLINK("https://fin.land.naver.com/articles/2649459333",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세종삼촌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올리모델링 방3개 욕실3개 시스템에어컨5대 조율가능</t>
        </is>
      </c>
      <c r="P112" s="6">
        <f>HYPERLINK("https://fin.land.naver.com/articles/2648979509",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아름동 입지좋은 단독주택 매매, 올리모델링</t>
        </is>
      </c>
      <c r="P114" s="6">
        <f>HYPERLINK("https://fin.land.naver.com/articles/2648835163",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nan</t>
        </is>
      </c>
      <c r="P119" s="6">
        <f>HYPERLINK("https://fin.land.naver.com/articles/2645959810",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세종갑부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조율가능 유럽풍스타일 1층 방2개 거실넓은 철콘주택</t>
        </is>
      </c>
      <c r="P120" s="6">
        <f>HYPERLINK("https://fin.land.naver.com/articles/2644917553",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방5개, 화장실2개, 고급 단독주택, 태양광</t>
        </is>
      </c>
      <c r="P121" s="6">
        <f>HYPERLINK("https://fin.land.naver.com/articles/2645493231",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65000</v>
      </c>
      <c r="H123" s="4" t="n">
        <v>0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28</v>
      </c>
      <c r="N123" s="5" t="n">
        <v>2321.4</v>
      </c>
      <c r="O123" s="3" t="inlineStr">
        <is>
          <t>조용하고 살기좋은 전원주택 매매</t>
        </is>
      </c>
      <c r="P123" s="6">
        <f>HYPERLINK("https://fin.land.naver.com/articles/2649113394", "매물Link")</f>
        <v/>
      </c>
      <c r="Q123" s="6">
        <f>HYPERLINK("https://map.naver.com/p/search/연동면 내판리 425-4", "지도Link")</f>
        <v/>
      </c>
      <c r="R123" s="6">
        <f>HYPERLINK("http://www.eum.go.kr/web/ar/lu/luLandDet.jsp?pnu=3611032021104250004&amp;isNoScr=script&amp;mode=search", "토지이음")</f>
        <v/>
      </c>
      <c r="S123" s="3" t="inlineStr">
        <is>
          <t>으뜸</t>
        </is>
      </c>
      <c r="T123" s="4" t="n">
        <v>1</v>
      </c>
      <c r="U123" s="5" t="n">
        <v>73.2</v>
      </c>
      <c r="V123" s="4" t="n">
        <v>499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180000</v>
      </c>
      <c r="H124" s="4" t="n">
        <v>0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58</v>
      </c>
      <c r="N124" s="5" t="n">
        <v>3103.4</v>
      </c>
      <c r="O124" s="3" t="inlineStr">
        <is>
          <t>남향의 2층 전원주택</t>
        </is>
      </c>
      <c r="P124" s="6">
        <f>HYPERLINK("https://fin.land.naver.com/articles/2646049802", "매물Link")</f>
        <v/>
      </c>
      <c r="Q124" s="6">
        <f>HYPERLINK("https://map.naver.com/p/search/연동면 노송리 28", "지도Link")</f>
        <v/>
      </c>
      <c r="R124" s="6">
        <f>HYPERLINK("http://www.eum.go.kr/web/ar/lu/luLandDet.jsp?pnu=3611032025100280000&amp;isNoScr=script&amp;mode=search", "토지이음")</f>
        <v/>
      </c>
      <c r="S124" s="3" t="inlineStr">
        <is>
          <t>보람최고</t>
        </is>
      </c>
      <c r="T124" s="4" t="n">
        <v>1</v>
      </c>
      <c r="U124" s="5" t="n">
        <v>68.90000000000001</v>
      </c>
      <c r="V124" s="4" t="n">
        <v>1001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16</v>
      </c>
      <c r="N125" s="5" t="n">
        <v>1156.2</v>
      </c>
      <c r="O125" s="3" t="inlineStr">
        <is>
          <t>소액 투자 추천, 세컨하우스, 주말별장, 실거주도 좋아요.</t>
        </is>
      </c>
      <c r="P125" s="6">
        <f>HYPERLINK("https://fin.land.naver.com/articles/2648902549", "매물Link")</f>
        <v/>
      </c>
      <c r="Q125" s="6">
        <f>HYPERLINK("https://map.naver.com/p/search/연동면 명학리 217-1", "지도Link")</f>
        <v/>
      </c>
      <c r="R125" s="6">
        <f>HYPERLINK("http://www.eum.go.kr/web/ar/lu/luLandDet.jsp?pnu=3611032023102170001&amp;isNoScr=script&amp;mode=search", "토지이음")</f>
        <v/>
      </c>
      <c r="S125" s="3" t="inlineStr">
        <is>
          <t>수자인시티</t>
        </is>
      </c>
      <c r="T125" s="4" t="n">
        <v>1</v>
      </c>
      <c r="U125" s="5" t="n">
        <v>98.7</v>
      </c>
      <c r="V125" s="4" t="n">
        <v>176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21000</v>
      </c>
      <c r="H126" s="4" t="n">
        <v>0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28</v>
      </c>
      <c r="N126" s="5" t="n">
        <v>750</v>
      </c>
      <c r="O126" s="3" t="inlineStr">
        <is>
          <t>세종시 공기좋고 한적한 곳 저렴한 시골집 세컨하우스 주말주택</t>
        </is>
      </c>
      <c r="P126" s="6">
        <f>HYPERLINK("https://fin.land.naver.com/articles/2645324832", "매물Link")</f>
        <v/>
      </c>
      <c r="Q126" s="6">
        <f>HYPERLINK("https://map.naver.com/p/search/연동면 예양리 640-1", "지도Link")</f>
        <v/>
      </c>
      <c r="R126" s="6">
        <f>HYPERLINK("http://www.eum.go.kr/web/ar/lu/luLandDet.jsp?pnu=3611032026106400001&amp;isNoScr=script&amp;mode=search", "토지이음")</f>
        <v/>
      </c>
      <c r="S126" s="3" t="inlineStr">
        <is>
          <t>청담</t>
        </is>
      </c>
      <c r="T126" s="4" t="n">
        <v>1</v>
      </c>
      <c r="U126" s="5" t="n">
        <v>60.4</v>
      </c>
      <c r="V126" s="4" t="n">
        <v>259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60000</v>
      </c>
      <c r="H127" s="4" t="n">
        <v>0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31</v>
      </c>
      <c r="N127" s="5" t="n">
        <v>1935.5</v>
      </c>
      <c r="O127" s="3" t="inlineStr">
        <is>
          <t>nan</t>
        </is>
      </c>
      <c r="P127" s="6">
        <f>HYPERLINK("https://fin.land.naver.com/articles/2648221451", "매물Link")</f>
        <v/>
      </c>
      <c r="Q127" s="6">
        <f>HYPERLINK("https://map.naver.com/p/search/연동면 응암리 121-4", "지도Link")</f>
        <v/>
      </c>
      <c r="R127" s="6">
        <f>HYPERLINK("http://www.eum.go.kr/web/ar/lu/luLandDet.jsp?pnu=3611032024101210004&amp;isNoScr=script&amp;mode=search", "토지이음")</f>
        <v/>
      </c>
      <c r="S127" s="3" t="inlineStr">
        <is>
          <t>어반통</t>
        </is>
      </c>
      <c r="T127" s="4" t="n">
        <v>1</v>
      </c>
      <c r="U127" s="5" t="n">
        <v>67.5</v>
      </c>
      <c r="V127" s="4" t="n">
        <v>1025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27000</v>
      </c>
      <c r="H128" s="4" t="n">
        <v>0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27</v>
      </c>
      <c r="N128" s="5" t="n">
        <v>1000</v>
      </c>
      <c r="O128" s="3" t="inlineStr">
        <is>
          <t>0초이스0 전세 안고 투자도 가능</t>
        </is>
      </c>
      <c r="P128" s="6">
        <f>HYPERLINK("https://fin.land.naver.com/articles/2649446382", "매물Link")</f>
        <v/>
      </c>
      <c r="Q128" s="6">
        <f>HYPERLINK("https://map.naver.com/p/search/연동면 응암리 199-4", "지도Link")</f>
        <v/>
      </c>
      <c r="R128" s="6">
        <f>HYPERLINK("http://www.eum.go.kr/web/ar/lu/luLandDet.jsp?pnu=3611032024101990004&amp;isNoScr=script&amp;mode=search", "토지이음")</f>
        <v/>
      </c>
      <c r="S128" s="3" t="inlineStr">
        <is>
          <t>세종초이스</t>
        </is>
      </c>
      <c r="T128" s="4" t="n">
        <v>1</v>
      </c>
      <c r="U128" s="5" t="n">
        <v>59.8</v>
      </c>
      <c r="V128" s="4" t="n">
        <v>464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54200</v>
      </c>
      <c r="H129" s="4" t="n">
        <v>0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22</v>
      </c>
      <c r="N129" s="5" t="n">
        <v>2463.6</v>
      </c>
      <c r="O129" s="3" t="inlineStr">
        <is>
          <t>고복저수지 초근접 한 매물이며,별장으로 활용해도 좋아요</t>
        </is>
      </c>
      <c r="P129" s="6">
        <f>HYPERLINK("https://fin.land.naver.com/articles/2647765328", "매물Link")</f>
        <v/>
      </c>
      <c r="Q129" s="6">
        <f>HYPERLINK("https://map.naver.com/p/search/연서면 고복리 415-34", "지도Link")</f>
        <v/>
      </c>
      <c r="R129" s="6">
        <f>HYPERLINK("http://www.eum.go.kr/web/ar/lu/luLandDet.jsp?pnu=3611036024104150034&amp;isNoScr=script&amp;mode=search", "토지이음")</f>
        <v/>
      </c>
      <c r="S129" s="3" t="inlineStr">
        <is>
          <t>지호주식회사</t>
        </is>
      </c>
      <c r="T129" s="4" t="n">
        <v>1</v>
      </c>
      <c r="U129" s="5" t="n">
        <v>122.9</v>
      </c>
      <c r="V129" s="4" t="n">
        <v>725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7000</v>
      </c>
      <c r="H130" s="4" t="n">
        <v>0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16</v>
      </c>
      <c r="N130" s="5" t="n">
        <v>437.5</v>
      </c>
      <c r="O130" s="3" t="inlineStr">
        <is>
          <t>매매가 이하 저렴한 농가주택입니다</t>
        </is>
      </c>
      <c r="P130" s="6">
        <f>HYPERLINK("https://fin.land.naver.com/articles/2644366822", "매물Link")</f>
        <v/>
      </c>
      <c r="Q130" s="6">
        <f>HYPERLINK("https://map.naver.com/p/search/연서면 기룡리 657-4", "지도Link")</f>
        <v/>
      </c>
      <c r="R130" s="6">
        <f>HYPERLINK("http://www.eum.go.kr/web/ar/lu/luLandDet.jsp?pnu=3611036028106570004&amp;isNoScr=script&amp;mode=search", "토지이음")</f>
        <v/>
      </c>
      <c r="S130" s="3" t="inlineStr">
        <is>
          <t>캠퍼스</t>
        </is>
      </c>
      <c r="T130" s="4" t="n">
        <v>1</v>
      </c>
      <c r="U130" s="5" t="n">
        <v>66.7</v>
      </c>
      <c r="V130" s="4" t="n">
        <v>304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단독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스마트산업단지 예정 인근 다가구 통매매,중심상권 위치로 투자수익 기대</t>
        </is>
      </c>
      <c r="P131" s="6">
        <f>HYPERLINK("https://fin.land.naver.com/articles/2644670568",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연기더조은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98000</v>
      </c>
      <c r="H135" s="4" t="n">
        <v>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147</v>
      </c>
      <c r="N135" s="5" t="n">
        <v>666.7</v>
      </c>
      <c r="O135" s="3" t="inlineStr">
        <is>
          <t>세종시 투자의 정석 공실 걱정 없는 안정적인 고수익 다가구주택</t>
        </is>
      </c>
      <c r="P135" s="6">
        <f>HYPERLINK("https://fin.land.naver.com/articles/2645675840", "매물Link")</f>
        <v/>
      </c>
      <c r="Q135" s="6">
        <f>HYPERLINK("https://map.naver.com/p/search/연서면 봉암리 112-35", "지도Link")</f>
        <v/>
      </c>
      <c r="R135" s="6">
        <f>HYPERLINK("http://www.eum.go.kr/web/ar/lu/luLandDet.jsp?pnu=3611036033101120035&amp;isNoScr=script&amp;mode=search",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194.8</v>
      </c>
      <c r="V135" s="4" t="n">
        <v>410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35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9</v>
      </c>
      <c r="N136" s="5" t="n">
        <v>3.9</v>
      </c>
      <c r="O136" s="3" t="inlineStr">
        <is>
          <t>가성비좋은 풀옵션 완비방   깔끔한 주방분리 짐만 챙겨오세요  해밀동5분</t>
        </is>
      </c>
      <c r="P136" s="6">
        <f>HYPERLINK("https://fin.land.naver.com/articles/2649064055", "매물Link")</f>
        <v/>
      </c>
      <c r="Q136" s="6">
        <f>HYPERLINK("https://map.naver.com/p/search/연서면 봉암리 112-40", "지도Link")</f>
        <v/>
      </c>
      <c r="R136" s="6">
        <f>HYPERLINK("http://www.eum.go.kr/web/ar/lu/luLandDet.jsp?pnu=3611036033101120040&amp;isNoScr=script&amp;mode=search",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194.8</v>
      </c>
      <c r="V136" s="4" t="n">
        <v>412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146</v>
      </c>
      <c r="N139" s="5" t="n">
        <v>582.2</v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6">
        <f>HYPERLINK("http://www.eum.go.kr/web/ar/lu/luLandDet.jsp?pnu=3611036033102170016&amp;isNoScr=script&amp;mode=search", "토지이음")</f>
        <v/>
      </c>
      <c r="S139" s="3" t="inlineStr">
        <is>
          <t>연기더조은</t>
        </is>
      </c>
      <c r="T139" s="4" t="n">
        <v>1</v>
      </c>
      <c r="U139" s="5" t="n">
        <v>172.4</v>
      </c>
      <c r="V139" s="4" t="n">
        <v>372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300</v>
      </c>
      <c r="H140" s="4" t="n">
        <v>34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10</v>
      </c>
      <c r="N140" s="5" t="n">
        <v>3.4</v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6">
        <f>HYPERLINK("http://www.eum.go.kr/web/ar/lu/luLandDet.jsp?pnu=3611036033102340036&amp;isNoScr=script&amp;mode=search",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172.4</v>
      </c>
      <c r="V140" s="4" t="n">
        <v>363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18500</v>
      </c>
      <c r="H141" s="4" t="n">
        <v>0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20</v>
      </c>
      <c r="N141" s="5" t="n">
        <v>925</v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6">
        <f>HYPERLINK("http://www.eum.go.kr/web/ar/lu/luLandDet.jsp?pnu=3611036033100540045&amp;isNoScr=script&amp;mode=search", "토지이음")</f>
        <v/>
      </c>
      <c r="S141" s="3" t="inlineStr">
        <is>
          <t>KB세종</t>
        </is>
      </c>
      <c r="T141" s="4" t="n">
        <v>1</v>
      </c>
      <c r="U141" s="5" t="n">
        <v>116.1</v>
      </c>
      <c r="V141" s="4" t="n">
        <v>175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7</v>
      </c>
      <c r="N142" s="5" t="n">
        <v>4.3</v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6">
        <f>HYPERLINK("http://www.eum.go.kr/web/ar/lu/luLandDet.jsp?pnu=3611036033100540076&amp;isNoScr=script&amp;mode=search",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281.7</v>
      </c>
      <c r="V142" s="4" t="n">
        <v>321</v>
      </c>
      <c r="W142" s="3" t="inlineStr">
        <is>
          <t>지정되지않음</t>
        </is>
      </c>
      <c r="X142" s="3" t="inlineStr">
        <is>
          <t>주상기타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300</v>
      </c>
      <c r="H145" s="4" t="n">
        <v>45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12</v>
      </c>
      <c r="N145" s="5" t="n">
        <v>3.8</v>
      </c>
      <c r="O145" s="3" t="inlineStr">
        <is>
          <t>nan</t>
        </is>
      </c>
      <c r="P145" s="6">
        <f>HYPERLINK("https://fin.land.naver.com/articles/2648794253", "매물Link")</f>
        <v/>
      </c>
      <c r="Q145" s="6">
        <f>HYPERLINK("https://map.naver.com/p/search/연서면 봉암리 58-3", "지도Link")</f>
        <v/>
      </c>
      <c r="R145" s="6">
        <f>HYPERLINK("http://www.eum.go.kr/web/ar/lu/luLandDet.jsp?pnu=3611036033100580003&amp;isNoScr=script&amp;mode=search",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단기임대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12</v>
      </c>
      <c r="N147" s="5" t="n">
        <v>25</v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HYPERLINK("https://fin.land.naver.com/articles/2646349438",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12</v>
      </c>
      <c r="N152" s="5" t="n">
        <v>3.8</v>
      </c>
      <c r="O152" s="3" t="inlineStr">
        <is>
          <t>nan</t>
        </is>
      </c>
      <c r="P152" s="6">
        <f>HYPERLINK("https://fin.land.naver.com/articles/2646744402",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100000</v>
      </c>
      <c r="H153" s="4" t="n">
        <v>0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131</v>
      </c>
      <c r="N153" s="5" t="n">
        <v>763.4</v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월세</t>
        </is>
      </c>
      <c r="G154" s="4" t="n">
        <v>1000</v>
      </c>
      <c r="H154" s="4" t="n">
        <v>40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23</v>
      </c>
      <c r="N154" s="5" t="n">
        <v>1.7</v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6">
        <f>HYPERLINK("http://www.eum.go.kr/web/ar/lu/luLandDet.jsp?pnu=3611036033106200025&amp;isNoScr=script&amp;mode=search", "토지이음")</f>
        <v/>
      </c>
      <c r="S154" s="3" t="inlineStr">
        <is>
          <t>꿈드림</t>
        </is>
      </c>
      <c r="T154" s="4" t="n">
        <v>1</v>
      </c>
      <c r="U154" s="5" t="n">
        <v>144.4</v>
      </c>
      <c r="V154" s="4" t="n">
        <v>397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400000</v>
      </c>
      <c r="H155" s="4" t="n">
        <v>0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77</v>
      </c>
      <c r="N155" s="5" t="n">
        <v>5194.8</v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6">
        <f>HYPERLINK("http://www.eum.go.kr/web/ar/lu/luLandDet.jsp?pnu=3611036033106770002&amp;isNoScr=script&amp;mode=search", "토지이음")</f>
        <v/>
      </c>
      <c r="S155" s="3" t="inlineStr">
        <is>
          <t>오송파라곤리치</t>
        </is>
      </c>
      <c r="T155" s="4" t="n">
        <v>1</v>
      </c>
      <c r="U155" s="5" t="n">
        <v>116.6</v>
      </c>
      <c r="V155" s="4" t="n">
        <v>655</v>
      </c>
      <c r="W155" s="3" t="inlineStr">
        <is>
          <t>지정되지않음</t>
        </is>
      </c>
      <c r="X155" s="3" t="inlineStr">
        <is>
          <t>주거기타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190000</v>
      </c>
      <c r="H156" s="4" t="n">
        <v>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180</v>
      </c>
      <c r="N156" s="5" t="n">
        <v>1055.6</v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6">
        <f>HYPERLINK("http://www.eum.go.kr/web/ar/lu/luLandDet.jsp?pnu=3611036033100730008&amp;isNoScr=script&amp;mode=search", "토지이음")</f>
        <v/>
      </c>
      <c r="S156" s="3" t="inlineStr">
        <is>
          <t>그래그</t>
        </is>
      </c>
      <c r="T156" s="4" t="n">
        <v>1</v>
      </c>
      <c r="U156" s="5" t="n">
        <v>199.3</v>
      </c>
      <c r="V156" s="4" t="n">
        <v>570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190000</v>
      </c>
      <c r="H157" s="4" t="n">
        <v>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172</v>
      </c>
      <c r="N157" s="5" t="n">
        <v>1104.7</v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6">
        <f>HYPERLINK("http://www.eum.go.kr/web/ar/lu/luLandDet.jsp?pnu=3611036033100730008&amp;isNoScr=script&amp;mode=search", "토지이음")</f>
        <v/>
      </c>
      <c r="S157" s="3" t="inlineStr">
        <is>
          <t>담뜰</t>
        </is>
      </c>
      <c r="T157" s="4" t="n">
        <v>1</v>
      </c>
      <c r="U157" s="5" t="n">
        <v>199.3</v>
      </c>
      <c r="V157" s="4" t="n">
        <v>570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43000</v>
      </c>
      <c r="H158" s="4" t="n">
        <v>0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28</v>
      </c>
      <c r="N158" s="5" t="n">
        <v>1535.7</v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6">
        <f>HYPERLINK("http://www.eum.go.kr/web/ar/lu/luLandDet.jsp?pnu=3611036032100800002&amp;isNoScr=script&amp;mode=search", "토지이음")</f>
        <v/>
      </c>
      <c r="S158" s="3" t="inlineStr">
        <is>
          <t>세종대장</t>
        </is>
      </c>
      <c r="T158" s="4" t="n">
        <v>1</v>
      </c>
      <c r="U158" s="5" t="n">
        <v>86.40000000000001</v>
      </c>
      <c r="V158" s="4" t="n">
        <v>507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44000</v>
      </c>
      <c r="H159" s="4" t="n">
        <v>0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51</v>
      </c>
      <c r="N159" s="5" t="n">
        <v>862.7</v>
      </c>
      <c r="O159" s="3" t="inlineStr">
        <is>
          <t>깨끗한 2층전원주택,주택바로뒤가 연서중학교 위치,3층다락방은 서비스면적</t>
        </is>
      </c>
      <c r="P159" s="6">
        <f>HYPERLINK("https://fin.land.naver.com/articles/2645458088", "매물Link")</f>
        <v/>
      </c>
      <c r="Q159" s="6">
        <f>HYPERLINK("https://map.naver.com/p/search/연서면 신대리 105-8", "지도Link")</f>
        <v/>
      </c>
      <c r="R159" s="6">
        <f>HYPERLINK("http://www.eum.go.kr/web/ar/lu/luLandDet.jsp?pnu=3611036029101050008&amp;isNoScr=script&amp;mode=search",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91.59999999999999</v>
      </c>
      <c r="V159" s="4" t="n">
        <v>327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44000</v>
      </c>
      <c r="H160" s="4" t="n">
        <v>0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51</v>
      </c>
      <c r="N160" s="5" t="n">
        <v>862.7</v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6">
        <f>HYPERLINK("http://www.eum.go.kr/web/ar/lu/luLandDet.jsp?pnu=3611036029101050008&amp;isNoScr=script&amp;mode=search", "토지이음")</f>
        <v/>
      </c>
      <c r="S160" s="3" t="inlineStr">
        <is>
          <t>연기더조은</t>
        </is>
      </c>
      <c r="T160" s="4" t="n">
        <v>2</v>
      </c>
      <c r="U160" s="5" t="n">
        <v>91.59999999999999</v>
      </c>
      <c r="V160" s="4" t="n">
        <v>327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55000</v>
      </c>
      <c r="H161" s="4" t="n">
        <v>0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42</v>
      </c>
      <c r="N161" s="5" t="n">
        <v>1309.5</v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6">
        <f>HYPERLINK("http://www.eum.go.kr/web/ar/lu/luLandDet.jsp?pnu=3611036022101590002&amp;isNoScr=script&amp;mode=search", "토지이음")</f>
        <v/>
      </c>
      <c r="S161" s="3" t="inlineStr">
        <is>
          <t>세종대장</t>
        </is>
      </c>
      <c r="T161" s="4" t="n">
        <v>1</v>
      </c>
      <c r="U161" s="5" t="n">
        <v>111.2</v>
      </c>
      <c r="V161" s="4" t="n">
        <v>635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28</v>
      </c>
      <c r="N162" s="5" t="n">
        <v>2321.4</v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6">
        <f>HYPERLINK("http://www.eum.go.kr/web/ar/lu/luLandDet.jsp?pnu=3611036031107910000&amp;isNoScr=script&amp;mode=search", "토지이음")</f>
        <v/>
      </c>
      <c r="S162" s="3" t="inlineStr">
        <is>
          <t>세종대박</t>
        </is>
      </c>
      <c r="T162" s="4" t="n">
        <v>1</v>
      </c>
      <c r="U162" s="5" t="n">
        <v>122</v>
      </c>
      <c r="V162" s="4" t="n">
        <v>496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25</v>
      </c>
      <c r="N163" s="5" t="n">
        <v>1200</v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6">
        <f>HYPERLINK("http://www.eum.go.kr/web/ar/lu/luLandDet.jsp?pnu=3611036021110080005&amp;isNoScr=script&amp;mode=search", "토지이음")</f>
        <v/>
      </c>
      <c r="S163" s="3" t="inlineStr">
        <is>
          <t>정인</t>
        </is>
      </c>
      <c r="T163" s="4" t="n">
        <v>1</v>
      </c>
      <c r="U163" s="5" t="n">
        <v>184.8</v>
      </c>
      <c r="V163" s="4" t="n">
        <v>145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연립</t>
        </is>
      </c>
      <c r="F164" s="3" t="inlineStr">
        <is>
          <t>매매</t>
        </is>
      </c>
      <c r="G164" s="4" t="n">
        <v>8000</v>
      </c>
      <c r="H164" s="4" t="n">
        <v>0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16</v>
      </c>
      <c r="N164" s="5" t="n">
        <v>500</v>
      </c>
      <c r="O164" s="3" t="inlineStr">
        <is>
          <t>욕실,주방,거실,샷시까지 올리모델링됨,세입자끼고매매,소액투자</t>
        </is>
      </c>
      <c r="P164" s="6">
        <f>HYPERLINK("https://fin.land.naver.com/articles/2644429104", "매물Link")</f>
        <v/>
      </c>
      <c r="Q164" s="6">
        <f>HYPERLINK("https://map.naver.com/p/search/연서면 월하리 618-1", "지도Link")</f>
        <v/>
      </c>
      <c r="R164" s="6">
        <f>HYPERLINK("http://www.eum.go.kr/web/ar/lu/luLandDet.jsp?pnu=3611036021106180001&amp;isNoScr=script&amp;mode=search", "토지이음")</f>
        <v/>
      </c>
      <c r="S164" s="3" t="inlineStr">
        <is>
          <t>신안무소</t>
        </is>
      </c>
      <c r="T164" s="4" t="n">
        <v>1</v>
      </c>
      <c r="U164" s="5" t="n">
        <v>151.2</v>
      </c>
      <c r="V164" s="4" t="n">
        <v>281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140000</v>
      </c>
      <c r="H165" s="4" t="n">
        <v>0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186</v>
      </c>
      <c r="N165" s="5" t="n">
        <v>752.7</v>
      </c>
      <c r="O165" s="3" t="inlineStr">
        <is>
          <t>nan</t>
        </is>
      </c>
      <c r="P165" s="6">
        <f>HYPERLINK("https://fin.land.naver.com/articles/2644717952", "매물Link")</f>
        <v/>
      </c>
      <c r="Q165" s="6">
        <f>HYPERLINK("https://map.naver.com/p/search/조치원읍 교리 11-6", "지도Link")</f>
        <v/>
      </c>
      <c r="R165" s="6">
        <f>HYPERLINK("http://www.eum.go.kr/web/ar/lu/luLandDet.jsp?pnu=3611025024100110006&amp;isNoScr=script&amp;mode=search", "토지이음")</f>
        <v/>
      </c>
      <c r="S165" s="3" t="inlineStr">
        <is>
          <t>효자</t>
        </is>
      </c>
      <c r="T165" s="4" t="n">
        <v>1</v>
      </c>
      <c r="U165" s="5" t="n">
        <v>283.3</v>
      </c>
      <c r="V165" s="4" t="n">
        <v>396.4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186</v>
      </c>
      <c r="N166" s="5" t="n">
        <v>806.5</v>
      </c>
      <c r="O166" s="3" t="inlineStr">
        <is>
          <t>상가주택, 2가구, 상가임대1, 가격조정가능, 주차가능</t>
        </is>
      </c>
      <c r="P166" s="6">
        <f>HYPERLINK("https://fin.land.naver.com/articles/2644864006", "매물Link")</f>
        <v/>
      </c>
      <c r="Q166" s="6">
        <f>HYPERLINK("https://map.naver.com/p/search/조치원읍 교리 11-6", "지도Link")</f>
        <v/>
      </c>
      <c r="R166" s="6">
        <f>HYPERLINK("http://www.eum.go.kr/web/ar/lu/luLandDet.jsp?pnu=3611025024100110006&amp;isNoScr=script&amp;mode=search", "토지이음")</f>
        <v/>
      </c>
      <c r="S166" s="3" t="inlineStr">
        <is>
          <t>엄마와딸</t>
        </is>
      </c>
      <c r="T166" s="4" t="n">
        <v>1</v>
      </c>
      <c r="U166" s="5" t="n">
        <v>283.3</v>
      </c>
      <c r="V166" s="4" t="n">
        <v>396.4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40000</v>
      </c>
      <c r="H167" s="4" t="n">
        <v>0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20</v>
      </c>
      <c r="N167" s="5" t="n">
        <v>2000</v>
      </c>
      <c r="O167" s="3" t="inlineStr">
        <is>
          <t>기업은행 바로 뒷편,구옥2채 매매 입니다.</t>
        </is>
      </c>
      <c r="P167" s="6">
        <f>HYPERLINK("https://fin.land.naver.com/articles/2647876689", "매물Link")</f>
        <v/>
      </c>
      <c r="Q167" s="6">
        <f>HYPERLINK("https://map.naver.com/p/search/조치원읍 교리 16-5", "지도Link")</f>
        <v/>
      </c>
      <c r="R167" s="6">
        <f>HYPERLINK("http://www.eum.go.kr/web/ar/lu/luLandDet.jsp?pnu=3611025024100160005&amp;isNoScr=script&amp;mode=search", "토지이음")</f>
        <v/>
      </c>
      <c r="S167" s="3" t="inlineStr">
        <is>
          <t>이음 사무소</t>
        </is>
      </c>
      <c r="T167" s="4" t="n">
        <v>2</v>
      </c>
      <c r="U167" s="5" t="n">
        <v>206.5</v>
      </c>
      <c r="V167" s="4" t="n">
        <v>103.5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25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6</v>
      </c>
      <c r="N168" s="5" t="n">
        <v>4.2</v>
      </c>
      <c r="O168" s="3" t="inlineStr">
        <is>
          <t>교리 원룸 저렴 세종등기소인근 풀옵션유</t>
        </is>
      </c>
      <c r="P168" s="6">
        <f>HYPERLINK("https://fin.land.naver.com/articles/2647587687", "매물Link")</f>
        <v/>
      </c>
      <c r="Q168" s="6">
        <f>HYPERLINK("https://map.naver.com/p/search/조치원읍 교리 18-1", "지도Link")</f>
        <v/>
      </c>
      <c r="R168" s="6">
        <f>HYPERLINK("http://www.eum.go.kr/web/ar/lu/luLandDet.jsp?pnu=3611025024100180001&amp;isNoScr=script&amp;mode=search",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289.1</v>
      </c>
      <c r="V168" s="4" t="n">
        <v>232.4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제2종일반주거지역</t>
        </is>
      </c>
      <c r="C169" s="3" t="inlineStr">
        <is>
          <t>잡종지</t>
        </is>
      </c>
      <c r="D169" s="3" t="inlineStr">
        <is>
          <t>2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27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6</v>
      </c>
      <c r="N169" s="5" t="n">
        <v>4.5</v>
      </c>
      <c r="O169" s="3" t="inlineStr">
        <is>
          <t>조치원역도보거리O막힘없는O깨끗한 원룸</t>
        </is>
      </c>
      <c r="P169" s="6">
        <f>HYPERLINK("https://fin.land.naver.com/articles/2644840286", "매물Link")</f>
        <v/>
      </c>
      <c r="Q169" s="6">
        <f>HYPERLINK("https://map.naver.com/p/search/조치원읍 남리 119-10", "지도Link")</f>
        <v/>
      </c>
      <c r="R169" s="6">
        <f>HYPERLINK("http://www.eum.go.kr/web/ar/lu/luLandDet.jsp?pnu=3611025027101190010&amp;isNoScr=script&amp;mode=search",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242.2</v>
      </c>
      <c r="V169" s="4" t="n">
        <v>280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자루형</t>
        </is>
      </c>
      <c r="AA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6</v>
      </c>
      <c r="N170" s="5" t="n">
        <v>5</v>
      </c>
      <c r="O170" s="3" t="inlineStr">
        <is>
          <t>원룸 남향  조치원역 도보가능합니다</t>
        </is>
      </c>
      <c r="P170" s="6">
        <f>HYPERLINK("https://fin.land.naver.com/articles/2647321662", "매물Link")</f>
        <v/>
      </c>
      <c r="Q170" s="6">
        <f>HYPERLINK("https://map.naver.com/p/search/조치원읍 남리 119-12", "지도Link")</f>
        <v/>
      </c>
      <c r="R170" s="6">
        <f>HYPERLINK("http://www.eum.go.kr/web/ar/lu/luLandDet.jsp?pnu=3611025027101190012&amp;isNoScr=script&amp;mode=search",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282.8</v>
      </c>
      <c r="V170" s="4" t="n">
        <v>485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25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6</v>
      </c>
      <c r="N171" s="5" t="n">
        <v>4.2</v>
      </c>
      <c r="O171" s="3" t="inlineStr">
        <is>
          <t>남리 버스정류장 가까운 위치</t>
        </is>
      </c>
      <c r="P171" s="6">
        <f>HYPERLINK("https://fin.land.naver.com/articles/2648317995", "매물Link")</f>
        <v/>
      </c>
      <c r="Q171" s="6">
        <f>HYPERLINK("https://map.naver.com/p/search/조치원읍 남리 119-6", "지도Link")</f>
        <v/>
      </c>
      <c r="R171" s="6">
        <f>HYPERLINK("http://www.eum.go.kr/web/ar/lu/luLandDet.jsp?pnu=3611025027101190006&amp;isNoScr=script&amp;mode=search",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285.5</v>
      </c>
      <c r="V171" s="4" t="n">
        <v>249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200</v>
      </c>
      <c r="H172" s="4" t="n">
        <v>30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6</v>
      </c>
      <c r="N172" s="5" t="n">
        <v>5</v>
      </c>
      <c r="O172" s="3" t="inlineStr">
        <is>
          <t>주방분리형.시장1분. 역3분.깔끔한방</t>
        </is>
      </c>
      <c r="P172" s="6">
        <f>HYPERLINK("https://fin.land.naver.com/articles/2648041959", "매물Link")</f>
        <v/>
      </c>
      <c r="Q172" s="6">
        <f>HYPERLINK("https://map.naver.com/p/search/조치원읍 남리 299-2", "지도Link")</f>
        <v/>
      </c>
      <c r="R172" s="6">
        <f>HYPERLINK("http://www.eum.go.kr/web/ar/lu/luLandDet.jsp?pnu=3611025027102990002&amp;isNoScr=script&amp;mode=search",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223.9</v>
      </c>
      <c r="V172" s="4" t="n">
        <v>407.8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6</v>
      </c>
      <c r="N173" s="5" t="n">
        <v>666.7</v>
      </c>
      <c r="O173" s="3" t="inlineStr">
        <is>
          <t>LH 가능.주방분리형.보증보험가능.시장1분.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6">
        <f>HYPERLINK("http://www.eum.go.kr/web/ar/lu/luLandDet.jsp?pnu=3611025027102990002&amp;isNoScr=script&amp;mode=search", "토지이음")</f>
        <v/>
      </c>
      <c r="S173" s="3" t="inlineStr">
        <is>
          <t>마이룸</t>
        </is>
      </c>
      <c r="T173" s="4" t="n">
        <v>1</v>
      </c>
      <c r="U173" s="5" t="n">
        <v>223.9</v>
      </c>
      <c r="V173" s="4" t="n">
        <v>407.8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단독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10</v>
      </c>
      <c r="N174" s="5" t="n">
        <v>420</v>
      </c>
      <c r="O174" s="3" t="inlineStr">
        <is>
          <t>nan</t>
        </is>
      </c>
      <c r="P174" s="6">
        <f>HYPERLINK("https://fin.land.naver.com/articles/2646917268", "매물Link")</f>
        <v/>
      </c>
      <c r="Q174" s="6">
        <f>HYPERLINK("https://map.naver.com/p/search/조치원읍 남리 368", "지도Link")</f>
        <v/>
      </c>
      <c r="R174" s="6">
        <f>HYPERLINK("http://www.eum.go.kr/web/ar/lu/luLandDet.jsp?pnu=3611025027103680000&amp;isNoScr=script&amp;mode=search",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280.4</v>
      </c>
      <c r="V174" s="4" t="n">
        <v>549.4</v>
      </c>
      <c r="W174" s="3" t="inlineStr">
        <is>
          <t>지정되지않음</t>
        </is>
      </c>
      <c r="X174" s="3" t="inlineStr">
        <is>
          <t>상업나지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31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7</v>
      </c>
      <c r="N175" s="5" t="n">
        <v>4.4</v>
      </c>
      <c r="O175" s="3" t="inlineStr">
        <is>
          <t>남리 원룸 넓은방 전통시장 편의시설 도보이용가능합니다</t>
        </is>
      </c>
      <c r="P175" s="6">
        <f>HYPERLINK("https://fin.land.naver.com/articles/2645236588", "매물Link")</f>
        <v/>
      </c>
      <c r="Q175" s="6">
        <f>HYPERLINK("https://map.naver.com/p/search/조치원읍 남리 371-1", "지도Link")</f>
        <v/>
      </c>
      <c r="R175" s="6">
        <f>HYPERLINK("http://www.eum.go.kr/web/ar/lu/luLandDet.jsp?pnu=3611025027103710001&amp;isNoScr=script&amp;mode=search",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232.4</v>
      </c>
      <c r="V175" s="4" t="n">
        <v>379</v>
      </c>
      <c r="W175" s="3" t="inlineStr">
        <is>
          <t>지정되지않음</t>
        </is>
      </c>
      <c r="X175" s="3" t="inlineStr">
        <is>
          <t>상업나지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6</v>
      </c>
      <c r="N176" s="5" t="n">
        <v>5</v>
      </c>
      <c r="O176" s="3" t="inlineStr">
        <is>
          <t>조용하게 살기좋은 주차 및 엘베있는 원룸</t>
        </is>
      </c>
      <c r="P176" s="6">
        <f>HYPERLINK("https://fin.land.naver.com/articles/2647381250", "매물Link")</f>
        <v/>
      </c>
      <c r="Q176" s="6">
        <f>HYPERLINK("https://map.naver.com/p/search/조치원읍 남리 371-1", "지도Link")</f>
        <v/>
      </c>
      <c r="R176" s="6">
        <f>HYPERLINK("http://www.eum.go.kr/web/ar/lu/luLandDet.jsp?pnu=3611025027103710001&amp;isNoScr=script&amp;mode=search",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232.4</v>
      </c>
      <c r="V176" s="4" t="n">
        <v>379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8</v>
      </c>
      <c r="N177" s="5" t="n">
        <v>3.9</v>
      </c>
      <c r="O177" s="3" t="inlineStr">
        <is>
          <t>조치원 시내이며, 재래시장, 초등학교인근이며, 오송과 인접함</t>
        </is>
      </c>
      <c r="P177" s="6">
        <f>HYPERLINK("https://fin.land.naver.com/articles/2645045638", "매물Link")</f>
        <v/>
      </c>
      <c r="Q177" s="6">
        <f>HYPERLINK("https://map.naver.com/p/search/조치원읍 남리 473", "지도Link")</f>
        <v/>
      </c>
      <c r="R177" s="6">
        <f>HYPERLINK("http://www.eum.go.kr/web/ar/lu/luLandDet.jsp?pnu=3611025027104730000&amp;isNoScr=script&amp;mode=search", "토지이음")</f>
        <v/>
      </c>
      <c r="S177" s="3" t="inlineStr">
        <is>
          <t>세종베스트</t>
        </is>
      </c>
      <c r="T177" s="4" t="n">
        <v>1</v>
      </c>
      <c r="U177" s="5" t="n">
        <v>261.8</v>
      </c>
      <c r="V177" s="4" t="n">
        <v>446.7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매매</t>
        </is>
      </c>
      <c r="G178" s="4" t="n">
        <v>29500</v>
      </c>
      <c r="H178" s="4" t="n">
        <v>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49</v>
      </c>
      <c r="N178" s="5" t="n">
        <v>602</v>
      </c>
      <c r="O178" s="3" t="inlineStr">
        <is>
          <t>조치원시내 관공서와 버스정류장 조치원역 도보로 가능한 조용한 주택,</t>
        </is>
      </c>
      <c r="P178" s="6">
        <f>HYPERLINK("https://fin.land.naver.com/articles/2644752879", "매물Link")</f>
        <v/>
      </c>
      <c r="Q178" s="6">
        <f>HYPERLINK("https://map.naver.com/p/search/조치원읍 남리 62-19", "지도Link")</f>
        <v/>
      </c>
      <c r="R178" s="6">
        <f>HYPERLINK("http://www.eum.go.kr/web/ar/lu/luLandDet.jsp?pnu=3611025027100620019&amp;isNoScr=script&amp;mode=search", "토지이음")</f>
        <v/>
      </c>
      <c r="S178" s="3" t="inlineStr">
        <is>
          <t>담뜰</t>
        </is>
      </c>
      <c r="T178" s="4" t="n">
        <v>1</v>
      </c>
      <c r="U178" s="5" t="n">
        <v>178.8</v>
      </c>
      <c r="V178" s="4" t="n">
        <v>180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전세</t>
        </is>
      </c>
      <c r="G179" s="4" t="n">
        <v>3800</v>
      </c>
      <c r="H179" s="4" t="n">
        <v>0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8</v>
      </c>
      <c r="N179" s="5" t="n">
        <v>475</v>
      </c>
      <c r="O179" s="3" t="inlineStr">
        <is>
          <t>조치원역도보거리.융자없음.깔끔한전세.즉시입주</t>
        </is>
      </c>
      <c r="P179" s="6">
        <f>HYPERLINK("https://fin.land.naver.com/articles/2645524964", "매물Link")</f>
        <v/>
      </c>
      <c r="Q179" s="6">
        <f>HYPERLINK("https://map.naver.com/p/search/조치원읍 남리 62-6", "지도Link")</f>
        <v/>
      </c>
      <c r="R179" s="6">
        <f>HYPERLINK("http://www.eum.go.kr/web/ar/lu/luLandDet.jsp?pnu=3611025027100620006&amp;isNoScr=script&amp;mode=search",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396</v>
      </c>
      <c r="V179" s="4" t="n">
        <v>472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3900</v>
      </c>
      <c r="H180" s="4" t="n">
        <v>0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7</v>
      </c>
      <c r="N180" s="5" t="n">
        <v>557.1</v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6">
        <f>HYPERLINK("http://www.eum.go.kr/web/ar/lu/luLandDet.jsp?pnu=3611025027100620006&amp;isNoScr=script&amp;mode=search",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396</v>
      </c>
      <c r="V180" s="4" t="n">
        <v>472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6</v>
      </c>
      <c r="N181" s="5" t="n">
        <v>666.7</v>
      </c>
      <c r="O181" s="3" t="inlineStr">
        <is>
          <t>조치원역도보5분 근저당없는 전세 풀옵션 큰방</t>
        </is>
      </c>
      <c r="P181" s="6">
        <f>HYPERLINK("https://fin.land.naver.com/articles/2649101403",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용죽부자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20</v>
      </c>
      <c r="N184" s="5" t="n">
        <v>2.8</v>
      </c>
      <c r="O184" s="3" t="inlineStr">
        <is>
          <t>시장 근처 깨끗한 2층 월세</t>
        </is>
      </c>
      <c r="P184" s="6">
        <f>HYPERLINK("https://fin.land.naver.com/articles/2648317283", "매물Link")</f>
        <v/>
      </c>
      <c r="Q184" s="6">
        <f>HYPERLINK("https://map.naver.com/p/search/조치원읍 명리 14-2", "지도Link")</f>
        <v/>
      </c>
      <c r="R184" s="6">
        <f>HYPERLINK("http://www.eum.go.kr/web/ar/lu/luLandDet.jsp?pnu=3611025026100140002&amp;isNoScr=script&amp;mode=search", "토지이음")</f>
        <v/>
      </c>
      <c r="S184" s="3" t="inlineStr">
        <is>
          <t>KB세종</t>
        </is>
      </c>
      <c r="T184" s="4" t="n">
        <v>1</v>
      </c>
      <c r="U184" s="5" t="n">
        <v>184.6</v>
      </c>
      <c r="V184" s="4" t="n">
        <v>145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45000</v>
      </c>
      <c r="H185" s="4" t="n">
        <v>0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66</v>
      </c>
      <c r="N185" s="5" t="n">
        <v>681.8</v>
      </c>
      <c r="O185" s="3" t="inlineStr">
        <is>
          <t>교통과 생활이 편리한 위치,초등학교 인근,대지 넓은 단독주택</t>
        </is>
      </c>
      <c r="P185" s="6">
        <f>HYPERLINK("https://fin.land.naver.com/articles/2646474045", "매물Link")</f>
        <v/>
      </c>
      <c r="Q185" s="6">
        <f>HYPERLINK("https://map.naver.com/p/search/조치원읍 명리 51", "지도Link")</f>
        <v/>
      </c>
      <c r="R185" s="6">
        <f>HYPERLINK("http://www.eum.go.kr/web/ar/lu/luLandDet.jsp?pnu=3611025026100510000&amp;isNoScr=script&amp;mode=search", "토지이음")</f>
        <v/>
      </c>
      <c r="S185" s="3" t="inlineStr">
        <is>
          <t>유정희</t>
        </is>
      </c>
      <c r="T185" s="4" t="n">
        <v>1</v>
      </c>
      <c r="U185" s="5" t="n">
        <v>223.3</v>
      </c>
      <c r="V185" s="4" t="n">
        <v>318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다가구</t>
        </is>
      </c>
      <c r="F186" s="3" t="inlineStr">
        <is>
          <t>월세</t>
        </is>
      </c>
      <c r="G186" s="4" t="n">
        <v>300</v>
      </c>
      <c r="H186" s="4" t="n">
        <v>31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8</v>
      </c>
      <c r="N186" s="5" t="n">
        <v>3.9</v>
      </c>
      <c r="O186" s="3" t="inlineStr">
        <is>
          <t>끌끔하고 위치좋은 원룸 2층</t>
        </is>
      </c>
      <c r="P186" s="6">
        <f>HYPERLINK("https://fin.land.naver.com/articles/2648560985", "매물Link")</f>
        <v/>
      </c>
      <c r="Q186" s="6">
        <f>HYPERLINK("https://map.naver.com/p/search/조치원읍 명리 54-12", "지도Link")</f>
        <v/>
      </c>
      <c r="R186" s="6">
        <f>HYPERLINK("http://www.eum.go.kr/web/ar/lu/luLandDet.jsp?pnu=3611025026100540012&amp;isNoScr=script&amp;mode=search", "토지이음")</f>
        <v/>
      </c>
      <c r="S186" s="3" t="inlineStr">
        <is>
          <t>세종베스트</t>
        </is>
      </c>
      <c r="T186" s="4" t="n">
        <v>1</v>
      </c>
      <c r="U186" s="5" t="n">
        <v>230.3</v>
      </c>
      <c r="V186" s="4" t="n">
        <v>520</v>
      </c>
      <c r="W186" s="3" t="inlineStr">
        <is>
          <t>지정되지않음</t>
        </is>
      </c>
      <c r="X186" s="3" t="inlineStr">
        <is>
          <t>주거기타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95000</v>
      </c>
      <c r="H187" s="4" t="n">
        <v>0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149</v>
      </c>
      <c r="N187" s="5" t="n">
        <v>637.6</v>
      </c>
      <c r="O187" s="3" t="inlineStr">
        <is>
          <t>명리 코너 상가주택 1,2층 상가 3층주택</t>
        </is>
      </c>
      <c r="P187" s="6">
        <f>HYPERLINK("https://fin.land.naver.com/articles/2649283511", "매물Link")</f>
        <v/>
      </c>
      <c r="Q187" s="6">
        <f>HYPERLINK("https://map.naver.com/p/search/조치원읍 명리 79", "지도Link")</f>
        <v/>
      </c>
      <c r="R187" s="6">
        <f>HYPERLINK("http://www.eum.go.kr/web/ar/lu/luLandDet.jsp?pnu=3611025026100790000&amp;isNoScr=script&amp;mode=search",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358.3</v>
      </c>
      <c r="V187" s="4" t="n">
        <v>153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82000</v>
      </c>
      <c r="H188" s="4" t="n">
        <v>0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115</v>
      </c>
      <c r="N188" s="5" t="n">
        <v>713</v>
      </c>
      <c r="O188" s="3" t="inlineStr">
        <is>
          <t>nan</t>
        </is>
      </c>
      <c r="P188" s="6">
        <f>HYPERLINK("https://fin.land.naver.com/articles/2645785068", "매물Link")</f>
        <v/>
      </c>
      <c r="Q188" s="6">
        <f>HYPERLINK("https://map.naver.com/p/search/조치원읍 번암리 128-2", "지도Link")</f>
        <v/>
      </c>
      <c r="R188" s="6">
        <f>HYPERLINK("http://www.eum.go.kr/web/ar/lu/luLandDet.jsp?pnu=3611025031101280002&amp;isNoScr=script&amp;mode=search",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309.1</v>
      </c>
      <c r="V188" s="4" t="n">
        <v>211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4500</v>
      </c>
      <c r="H189" s="4" t="n">
        <v>0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6</v>
      </c>
      <c r="N189" s="5" t="n">
        <v>750</v>
      </c>
      <c r="O189" s="3" t="inlineStr">
        <is>
          <t>고려대 세종캠퍼스 인근 복층형 원룸 개별 매매</t>
        </is>
      </c>
      <c r="P189" s="6">
        <f>HYPERLINK("https://fin.land.naver.com/articles/2648580362", "매물Link")</f>
        <v/>
      </c>
      <c r="Q189" s="6">
        <f>HYPERLINK("https://map.naver.com/p/search/조치원읍 봉산리 190-11", "지도Link")</f>
        <v/>
      </c>
      <c r="R189" s="6">
        <f>HYPERLINK("http://www.eum.go.kr/web/ar/lu/luLandDet.jsp?pnu=3611025033101900011&amp;isNoScr=script&amp;mode=search", "토지이음")</f>
        <v/>
      </c>
      <c r="S189" s="3" t="inlineStr">
        <is>
          <t>고래</t>
        </is>
      </c>
      <c r="T189" s="4" t="n">
        <v>1</v>
      </c>
      <c r="U189" s="5" t="n">
        <v>168.4</v>
      </c>
      <c r="V189" s="4" t="n">
        <v>565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준주거지역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65000</v>
      </c>
      <c r="H190" s="4" t="n">
        <v>0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56</v>
      </c>
      <c r="N190" s="5" t="n">
        <v>1160.7</v>
      </c>
      <c r="O190" s="3" t="inlineStr">
        <is>
          <t>상리 세종문화원 맞은편 2차선 접한 전면 넓은 상가 광고효과 좋음</t>
        </is>
      </c>
      <c r="P190" s="6">
        <f>HYPERLINK("https://fin.land.naver.com/articles/2645226309", "매물Link")</f>
        <v/>
      </c>
      <c r="Q190" s="6">
        <f>HYPERLINK("https://map.naver.com/p/search/조치원읍 상리 132-1", "지도Link")</f>
        <v/>
      </c>
      <c r="R190" s="6">
        <f>HYPERLINK("http://www.eum.go.kr/web/ar/lu/luLandDet.jsp?pnu=3611025022101320001&amp;isNoScr=script&amp;mode=search",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640.7</v>
      </c>
      <c r="V190" s="4" t="n">
        <v>116</v>
      </c>
      <c r="W190" s="3" t="inlineStr">
        <is>
          <t>지정되지않음</t>
        </is>
      </c>
      <c r="X190" s="3" t="inlineStr">
        <is>
          <t>상업용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월세</t>
        </is>
      </c>
      <c r="G191" s="4" t="n">
        <v>200</v>
      </c>
      <c r="H191" s="4" t="n">
        <v>25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6</v>
      </c>
      <c r="N191" s="5" t="n">
        <v>4.2</v>
      </c>
      <c r="O191" s="3" t="inlineStr">
        <is>
          <t>조치원읍 상리 단독주택 2층 월세</t>
        </is>
      </c>
      <c r="P191" s="6">
        <f>HYPERLINK("https://fin.land.naver.com/articles/2645256671", "매물Link")</f>
        <v/>
      </c>
      <c r="Q191" s="6">
        <f>HYPERLINK("https://map.naver.com/p/search/조치원읍 상리 67-9", "지도Link")</f>
        <v/>
      </c>
      <c r="R191" s="6">
        <f>HYPERLINK("http://www.eum.go.kr/web/ar/lu/luLandDet.jsp?pnu=3611025022100670009&amp;isNoScr=script&amp;mode=search", "토지이음")</f>
        <v/>
      </c>
      <c r="S191" s="3" t="inlineStr">
        <is>
          <t>동원</t>
        </is>
      </c>
      <c r="T191" s="4" t="n">
        <v>1</v>
      </c>
      <c r="U191" s="5" t="n">
        <v>154</v>
      </c>
      <c r="V191" s="4" t="n">
        <v>201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0</t>
        </is>
      </c>
      <c r="E192" s="3" t="inlineStr">
        <is>
          <t>도시형생활주택</t>
        </is>
      </c>
      <c r="F192" s="3" t="inlineStr">
        <is>
          <t>월세</t>
        </is>
      </c>
      <c r="G192" s="4" t="n">
        <v>4500</v>
      </c>
      <c r="H192" s="4" t="n">
        <v>12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5</v>
      </c>
      <c r="N192" s="5" t="n">
        <v>2.4</v>
      </c>
      <c r="O192" s="3" t="inlineStr">
        <is>
          <t>L 즉시입주가능  O엘베 O정남향 O역10분내</t>
        </is>
      </c>
      <c r="P192" s="6">
        <f>HYPERLINK("https://fin.land.naver.com/articles/2648531034", "매물Link")</f>
        <v/>
      </c>
      <c r="Q192" s="6">
        <f>HYPERLINK("https://map.naver.com/p/search/조치원읍 상리 79-3", "지도Link")</f>
        <v/>
      </c>
      <c r="R192" s="6">
        <f>HYPERLINK("http://www.eum.go.kr/web/ar/lu/luLandDet.jsp?pnu=3611025022100790003&amp;isNoScr=script&amp;mode=search", "토지이음")</f>
        <v/>
      </c>
      <c r="S192" s="3" t="inlineStr">
        <is>
          <t>바다</t>
        </is>
      </c>
      <c r="T192" s="4" t="n">
        <v>1</v>
      </c>
      <c r="U192" s="5" t="n">
        <v>318.4</v>
      </c>
      <c r="V192" s="4" t="n">
        <v>465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일반상업지역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도시형생활주택</t>
        </is>
      </c>
      <c r="F193" s="3" t="inlineStr">
        <is>
          <t>전세</t>
        </is>
      </c>
      <c r="G193" s="4" t="n">
        <v>4200</v>
      </c>
      <c r="H193" s="4" t="n">
        <v>0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5</v>
      </c>
      <c r="N193" s="5" t="n">
        <v>840</v>
      </c>
      <c r="O193" s="3" t="inlineStr">
        <is>
          <t>풀옵션 깔끔한 도시형생활주택 무융자조건</t>
        </is>
      </c>
      <c r="P193" s="6">
        <f>HYPERLINK("https://fin.land.naver.com/articles/2645162863", "매물Link")</f>
        <v/>
      </c>
      <c r="Q193" s="6">
        <f>HYPERLINK("https://map.naver.com/p/search/조치원읍 상리 79-3", "지도Link")</f>
        <v/>
      </c>
      <c r="R193" s="6">
        <f>HYPERLINK("http://www.eum.go.kr/web/ar/lu/luLandDet.jsp?pnu=3611025022100790003&amp;isNoScr=script&amp;mode=search", "토지이음")</f>
        <v/>
      </c>
      <c r="S193" s="3" t="inlineStr">
        <is>
          <t>용죽부자</t>
        </is>
      </c>
      <c r="T193" s="4" t="n">
        <v>1</v>
      </c>
      <c r="U193" s="5" t="n">
        <v>318.4</v>
      </c>
      <c r="V193" s="4" t="n">
        <v>465</v>
      </c>
      <c r="W193" s="3" t="inlineStr">
        <is>
          <t>지정되지않음</t>
        </is>
      </c>
      <c r="X193" s="3" t="inlineStr">
        <is>
          <t>주상기타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일반상업지역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4800</v>
      </c>
      <c r="H194" s="4" t="n">
        <v>0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5</v>
      </c>
      <c r="N194" s="5" t="n">
        <v>960</v>
      </c>
      <c r="O194" s="3" t="inlineStr">
        <is>
          <t>깨끗한원룸.넓은방.협의입주가능.보안철저.주차시설완비</t>
        </is>
      </c>
      <c r="P194" s="6">
        <f>HYPERLINK("https://fin.land.naver.com/articles/2644836713", "매물Link")</f>
        <v/>
      </c>
      <c r="Q194" s="6">
        <f>HYPERLINK("https://map.naver.com/p/search/조치원읍 상리 79-3", "지도Link")</f>
        <v/>
      </c>
      <c r="R194" s="6">
        <f>HYPERLINK("http://www.eum.go.kr/web/ar/lu/luLandDet.jsp?pnu=3611025022100790003&amp;isNoScr=script&amp;mode=search", "토지이음")</f>
        <v/>
      </c>
      <c r="S194" s="3" t="inlineStr">
        <is>
          <t>척척</t>
        </is>
      </c>
      <c r="T194" s="4" t="n">
        <v>1</v>
      </c>
      <c r="U194" s="5" t="n">
        <v>318.4</v>
      </c>
      <c r="V194" s="4" t="n">
        <v>465</v>
      </c>
      <c r="W194" s="3" t="inlineStr">
        <is>
          <t>지정되지않음</t>
        </is>
      </c>
      <c r="X194" s="3" t="inlineStr">
        <is>
          <t>주상기타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300</v>
      </c>
      <c r="H195" s="4" t="n">
        <v>36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6</v>
      </c>
      <c r="N195" s="5" t="n">
        <v>6</v>
      </c>
      <c r="O195" s="3" t="inlineStr">
        <is>
          <t>깨끗한원룸.실사진.즉시입주가능.보안철저.주차시설완비</t>
        </is>
      </c>
      <c r="P195" s="6">
        <f>HYPERLINK("https://fin.land.naver.com/articles/2644842214", "매물Link")</f>
        <v/>
      </c>
      <c r="Q195" s="6">
        <f>HYPERLINK("https://map.naver.com/p/search/조치원읍 상리 79-3", "지도Link")</f>
        <v/>
      </c>
      <c r="R195" s="6">
        <f>HYPERLINK("http://www.eum.go.kr/web/ar/lu/luLandDet.jsp?pnu=3611025022100790003&amp;isNoScr=script&amp;mode=search",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318.4</v>
      </c>
      <c r="V195" s="4" t="n">
        <v>465</v>
      </c>
      <c r="W195" s="3" t="inlineStr">
        <is>
          <t>지정되지않음</t>
        </is>
      </c>
      <c r="X195" s="3" t="inlineStr">
        <is>
          <t>주상기타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52000</v>
      </c>
      <c r="H196" s="4" t="n">
        <v>0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94</v>
      </c>
      <c r="N196" s="5" t="n">
        <v>553.2</v>
      </c>
      <c r="O196" s="3" t="inlineStr">
        <is>
          <t>nan</t>
        </is>
      </c>
      <c r="P196" s="6">
        <f>HYPERLINK("https://fin.land.naver.com/articles/2645784295", "매물Link")</f>
        <v/>
      </c>
      <c r="Q196" s="6">
        <f>HYPERLINK("https://map.naver.com/p/search/조치원읍 서창리 133-28", "지도Link")</f>
        <v/>
      </c>
      <c r="R196" s="6">
        <f>HYPERLINK("http://www.eum.go.kr/web/ar/lu/luLandDet.jsp?pnu=3611025034101330028&amp;isNoScr=script&amp;mode=search",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243.7</v>
      </c>
      <c r="V196" s="4" t="n">
        <v>233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49000</v>
      </c>
      <c r="H197" s="4" t="n">
        <v>0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176</v>
      </c>
      <c r="N197" s="5" t="n">
        <v>278.4</v>
      </c>
      <c r="O197" s="3" t="inlineStr">
        <is>
          <t>.급매. o수익률잘나옴 o관리잘되었어요</t>
        </is>
      </c>
      <c r="P197" s="6">
        <f>HYPERLINK("https://fin.land.naver.com/articles/2644111814", "매물Link")</f>
        <v/>
      </c>
      <c r="Q197" s="6">
        <f>HYPERLINK("https://map.naver.com/p/search/조치원읍 서창리 203-10", "지도Link")</f>
        <v/>
      </c>
      <c r="R197" s="6">
        <f>HYPERLINK("http://www.eum.go.kr/web/ar/lu/luLandDet.jsp?pnu=3611025034102030010&amp;isNoScr=script&amp;mode=search", "토지이음")</f>
        <v/>
      </c>
      <c r="S197" s="3" t="inlineStr">
        <is>
          <t>바다</t>
        </is>
      </c>
      <c r="T197" s="4" t="n">
        <v>2</v>
      </c>
      <c r="U197" s="5" t="n">
        <v>205.7</v>
      </c>
      <c r="V197" s="4" t="n">
        <v>415</v>
      </c>
      <c r="W197" s="3" t="inlineStr">
        <is>
          <t>자연녹지지역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3000</v>
      </c>
      <c r="H198" s="4" t="n">
        <v>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9</v>
      </c>
      <c r="N198" s="5" t="n">
        <v>333.3</v>
      </c>
      <c r="O198" s="3" t="inlineStr">
        <is>
          <t>위치좋고 상태 좋은 저렴한 매물 안전전세</t>
        </is>
      </c>
      <c r="P198" s="6">
        <f>HYPERLINK("https://fin.land.naver.com/articles/2644989266", "매물Link")</f>
        <v/>
      </c>
      <c r="Q198" s="6">
        <f>HYPERLINK("https://map.naver.com/p/search/조치원읍 서창리 203-6", "지도Link")</f>
        <v/>
      </c>
      <c r="R198" s="6">
        <f>HYPERLINK("http://www.eum.go.kr/web/ar/lu/luLandDet.jsp?pnu=3611025034102030006&amp;isNoScr=script&amp;mode=search", "토지이음")</f>
        <v/>
      </c>
      <c r="S198" s="3" t="inlineStr">
        <is>
          <t>부자터</t>
        </is>
      </c>
      <c r="T198" s="4" t="n">
        <v>1</v>
      </c>
      <c r="U198" s="5" t="n">
        <v>344.8</v>
      </c>
      <c r="V198" s="4" t="n">
        <v>477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100</v>
      </c>
      <c r="H199" s="4" t="n">
        <v>30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7</v>
      </c>
      <c r="N199" s="5" t="n">
        <v>4.3</v>
      </c>
      <c r="O199" s="3" t="inlineStr">
        <is>
          <t>원룸 월세</t>
        </is>
      </c>
      <c r="P199" s="6">
        <f>HYPERLINK("https://fin.land.naver.com/articles/2647836240", "매물Link")</f>
        <v/>
      </c>
      <c r="Q199" s="6">
        <f>HYPERLINK("https://map.naver.com/p/search/조치원읍 서창리 290-1", "지도Link")</f>
        <v/>
      </c>
      <c r="R199" s="6">
        <f>HYPERLINK("http://www.eum.go.kr/web/ar/lu/luLandDet.jsp?pnu=3611025034102900001&amp;isNoScr=script&amp;mode=search", "토지이음")</f>
        <v/>
      </c>
      <c r="S199" s="3" t="inlineStr">
        <is>
          <t>김준희</t>
        </is>
      </c>
      <c r="T199" s="4" t="n">
        <v>1</v>
      </c>
      <c r="U199" s="5" t="n">
        <v>321.6</v>
      </c>
      <c r="V199" s="4" t="n">
        <v>388.7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8</v>
      </c>
      <c r="N200" s="5" t="n">
        <v>3.6</v>
      </c>
      <c r="O200" s="3" t="inlineStr">
        <is>
          <t>서창리.모든게옵션.10월초 협의입주가능</t>
        </is>
      </c>
      <c r="P200" s="6">
        <f>HYPERLINK("https://fin.land.naver.com/articles/2649226212", "매물Link")</f>
        <v/>
      </c>
      <c r="Q200" s="6">
        <f>HYPERLINK("https://map.naver.com/p/search/조치원읍 서창리 290-5", "지도Link")</f>
        <v/>
      </c>
      <c r="R200" s="6">
        <f>HYPERLINK("http://www.eum.go.kr/web/ar/lu/luLandDet.jsp?pnu=3611025034102900005&amp;isNoScr=script&amp;mode=search",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319.2</v>
      </c>
      <c r="V200" s="4" t="n">
        <v>237.8</v>
      </c>
      <c r="W200" s="3" t="inlineStr">
        <is>
          <t>지정되지않음</t>
        </is>
      </c>
      <c r="X200" s="3" t="inlineStr">
        <is>
          <t>주상나지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4000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7</v>
      </c>
      <c r="N201" s="5" t="n">
        <v>571.4</v>
      </c>
      <c r="O201" s="3" t="inlineStr">
        <is>
          <t>세종,오송,청주 출퇴근하기 좋은 위치의 분리형원룸</t>
        </is>
      </c>
      <c r="P201" s="6">
        <f>HYPERLINK("https://fin.land.naver.com/articles/2647378387", "매물Link")</f>
        <v/>
      </c>
      <c r="Q201" s="6">
        <f>HYPERLINK("https://map.naver.com/p/search/조치원읍 서창리 292-2", "지도Link")</f>
        <v/>
      </c>
      <c r="R201" s="6">
        <f>HYPERLINK("http://www.eum.go.kr/web/ar/lu/luLandDet.jsp?pnu=3611025034102920002&amp;isNoScr=script&amp;mode=search", "토지이음")</f>
        <v/>
      </c>
      <c r="S201" s="3" t="inlineStr">
        <is>
          <t>무지개</t>
        </is>
      </c>
      <c r="T201" s="4" t="n">
        <v>1</v>
      </c>
      <c r="U201" s="5" t="n">
        <v>324.7</v>
      </c>
      <c r="V201" s="4" t="n">
        <v>301.2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4000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7</v>
      </c>
      <c r="N202" s="5" t="n">
        <v>571.4</v>
      </c>
      <c r="O202" s="3" t="inlineStr">
        <is>
          <t>L리모델링 O풀옵션 O역3분</t>
        </is>
      </c>
      <c r="P202" s="6">
        <f>HYPERLINK("https://fin.land.naver.com/articles/2645063733", "매물Link")</f>
        <v/>
      </c>
      <c r="Q202" s="6">
        <f>HYPERLINK("https://map.naver.com/p/search/조치원읍 서창리 292-2", "지도Link")</f>
        <v/>
      </c>
      <c r="R202" s="6">
        <f>HYPERLINK("http://www.eum.go.kr/web/ar/lu/luLandDet.jsp?pnu=3611025034102920002&amp;isNoScr=script&amp;mode=search",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324.7</v>
      </c>
      <c r="V202" s="4" t="n">
        <v>301.2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4000</v>
      </c>
      <c r="H203" s="4" t="n">
        <v>0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7</v>
      </c>
      <c r="N203" s="5" t="n">
        <v>571.4</v>
      </c>
      <c r="O203" s="3" t="inlineStr">
        <is>
          <t>서창리 원룸 전세</t>
        </is>
      </c>
      <c r="P203" s="6">
        <f>HYPERLINK("https://fin.land.naver.com/articles/2646197839", "매물Link")</f>
        <v/>
      </c>
      <c r="Q203" s="6">
        <f>HYPERLINK("https://map.naver.com/p/search/조치원읍 서창리 292-2", "지도Link")</f>
        <v/>
      </c>
      <c r="R203" s="6">
        <f>HYPERLINK("http://www.eum.go.kr/web/ar/lu/luLandDet.jsp?pnu=3611025034102920002&amp;isNoScr=script&amp;mode=search",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324.7</v>
      </c>
      <c r="V203" s="4" t="n">
        <v>301.2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70000</v>
      </c>
      <c r="H204" s="4" t="n">
        <v>0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146</v>
      </c>
      <c r="N204" s="5" t="n">
        <v>479.5</v>
      </c>
      <c r="O204" s="3" t="inlineStr">
        <is>
          <t>nan</t>
        </is>
      </c>
      <c r="P204" s="6">
        <f>HYPERLINK("https://fin.land.naver.com/articles/2645783949", "매물Link")</f>
        <v/>
      </c>
      <c r="Q204" s="6">
        <f>HYPERLINK("https://map.naver.com/p/search/조치원읍 서창리 296-8", "지도Link")</f>
        <v/>
      </c>
      <c r="R204" s="6">
        <f>HYPERLINK("http://www.eum.go.kr/web/ar/lu/luLandDet.jsp?pnu=3611025034102960008&amp;isNoScr=script&amp;mode=search",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321.1</v>
      </c>
      <c r="V204" s="4" t="n">
        <v>317.7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146</v>
      </c>
      <c r="N205" s="5" t="n">
        <v>479.5</v>
      </c>
      <c r="O205" s="3" t="inlineStr">
        <is>
          <t>다가구 매매 실투자금 약 5억</t>
        </is>
      </c>
      <c r="P205" s="6">
        <f>HYPERLINK("https://fin.land.naver.com/articles/2645163465", "매물Link")</f>
        <v/>
      </c>
      <c r="Q205" s="6">
        <f>HYPERLINK("https://map.naver.com/p/search/조치원읍 서창리 296-8", "지도Link")</f>
        <v/>
      </c>
      <c r="R205" s="6">
        <f>HYPERLINK("http://www.eum.go.kr/web/ar/lu/luLandDet.jsp?pnu=3611025034102960008&amp;isNoScr=script&amp;mode=search", "토지이음")</f>
        <v/>
      </c>
      <c r="S205" s="3" t="inlineStr">
        <is>
          <t>상희</t>
        </is>
      </c>
      <c r="T205" s="4" t="n">
        <v>1</v>
      </c>
      <c r="U205" s="5" t="n">
        <v>321.1</v>
      </c>
      <c r="V205" s="4" t="n">
        <v>317.7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세로장방</t>
        </is>
      </c>
      <c r="AA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76000</v>
      </c>
      <c r="H206" s="4" t="n">
        <v>0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78</v>
      </c>
      <c r="N206" s="5" t="n">
        <v>974.4</v>
      </c>
      <c r="O206" s="3" t="inlineStr">
        <is>
          <t>대학가 2억7천 투자 수익률7.5</t>
        </is>
      </c>
      <c r="P206" s="6">
        <f>HYPERLINK("https://fin.land.naver.com/articles/2648572698", "매물Link")</f>
        <v/>
      </c>
      <c r="Q206" s="6">
        <f>HYPERLINK("https://map.naver.com/p/search/조치원읍 서창리 66-35", "지도Link")</f>
        <v/>
      </c>
      <c r="R206" s="6">
        <f>HYPERLINK("http://www.eum.go.kr/web/ar/lu/luLandDet.jsp?pnu=3611025034100660035&amp;isNoScr=script&amp;mode=search", "토지이음")</f>
        <v/>
      </c>
      <c r="S206" s="3" t="inlineStr">
        <is>
          <t>고래</t>
        </is>
      </c>
      <c r="T206" s="4" t="n">
        <v>1</v>
      </c>
      <c r="U206" s="5" t="n">
        <v>401.7</v>
      </c>
      <c r="V206" s="4" t="n">
        <v>189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29</v>
      </c>
      <c r="N207" s="5" t="n">
        <v>1655.2</v>
      </c>
      <c r="O207" s="3" t="inlineStr">
        <is>
          <t>편의성과 안락함을 다 갖춘 단독주택</t>
        </is>
      </c>
      <c r="P207" s="6">
        <f>HYPERLINK("https://fin.land.naver.com/articles/2647877367", "매물Link")</f>
        <v/>
      </c>
      <c r="Q207" s="6">
        <f>HYPERLINK("https://map.naver.com/p/search/조치원읍 신안리 146-2", "지도Link")</f>
        <v/>
      </c>
      <c r="R207" s="6">
        <f>HYPERLINK("http://www.eum.go.kr/web/ar/lu/luLandDet.jsp?pnu=3611025032101460002&amp;isNoScr=script&amp;mode=search", "토지이음")</f>
        <v/>
      </c>
      <c r="S207" s="3" t="inlineStr">
        <is>
          <t>무지개</t>
        </is>
      </c>
      <c r="T207" s="4" t="n">
        <v>1</v>
      </c>
      <c r="U207" s="5" t="n">
        <v>188.1</v>
      </c>
      <c r="V207" s="4" t="n">
        <v>247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50000</v>
      </c>
      <c r="H208" s="4" t="n">
        <v>0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63</v>
      </c>
      <c r="N208" s="5" t="n">
        <v>793.7</v>
      </c>
      <c r="O208" s="3" t="inlineStr">
        <is>
          <t>홍익대 조치원캠퍼스 인근 임대료 수익, 11호실</t>
        </is>
      </c>
      <c r="P208" s="6">
        <f>HYPERLINK("https://fin.land.naver.com/articles/2648906557", "매물Link")</f>
        <v/>
      </c>
      <c r="Q208" s="6">
        <f>HYPERLINK("https://map.naver.com/p/search/조치원읍 신안리 168-5", "지도Link")</f>
        <v/>
      </c>
      <c r="R208" s="6">
        <f>HYPERLINK("http://www.eum.go.kr/web/ar/lu/luLandDet.jsp?pnu=3611025032101680005&amp;isNoScr=script&amp;mode=search", "토지이음")</f>
        <v/>
      </c>
      <c r="S208" s="3" t="inlineStr">
        <is>
          <t>웰스플랜</t>
        </is>
      </c>
      <c r="T208" s="4" t="n">
        <v>1</v>
      </c>
      <c r="U208" s="5" t="n">
        <v>171.6</v>
      </c>
      <c r="V208" s="4" t="n">
        <v>208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28</v>
      </c>
      <c r="N210" s="5" t="n">
        <v>589.3</v>
      </c>
      <c r="O210" s="3" t="inlineStr">
        <is>
          <t>신축빌라</t>
        </is>
      </c>
      <c r="P210" s="6">
        <f>HYPERLINK("https://fin.land.naver.com/articles/2648649444",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운산</t>
        </is>
      </c>
      <c r="T210" s="4" t="n">
        <v>5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홍대 신축, 올리모델링,엘베,급매</t>
        </is>
      </c>
      <c r="P211" s="6">
        <f>HYPERLINK("https://fin.land.naver.com/articles/2646910242",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다옴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담뜰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113</v>
      </c>
      <c r="N213" s="5" t="n">
        <v>146</v>
      </c>
      <c r="O213" s="3" t="inlineStr">
        <is>
          <t>자연과 어우러진 전원형 빌라주거지 세종시와 청주. 오송방면 이동이편리함</t>
        </is>
      </c>
      <c r="P213" s="6">
        <f>HYPERLINK("https://fin.land.naver.com/articles/2649408871",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재원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올리모델링, 4층단독세대, 방3욕실2, 승강기, 적극협의</t>
        </is>
      </c>
      <c r="P214" s="6">
        <f>HYPERLINK("https://fin.land.naver.com/articles/2647198591",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보배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조치원읍 신안리 신축 프리미엄 빌라 급매, 쓰리룸 엘리베이터 주차여유</t>
        </is>
      </c>
      <c r="P215" s="6">
        <f>HYPERLINK("https://fin.land.naver.com/articles/2647624029",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빅토리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하늘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28</v>
      </c>
      <c r="N217" s="5" t="n">
        <v>589.3</v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해들일번지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홍익대바로인근 신축빌라 올리모델링 전원주택형 예쁜빌라 교통입지편리한곳</t>
        </is>
      </c>
      <c r="P218" s="6">
        <f>HYPERLINK("https://fin.land.naver.com/articles/2646835563",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오송휴먼캐슬</t>
        </is>
      </c>
      <c r="T218" s="4" t="n">
        <v>2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대한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28000</v>
      </c>
      <c r="H220" s="4" t="n">
        <v>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18</v>
      </c>
      <c r="N220" s="5" t="n">
        <v>1555.6</v>
      </c>
      <c r="O220" s="3" t="inlineStr">
        <is>
          <t>세종시 홍익대 주변 농가주택 급매</t>
        </is>
      </c>
      <c r="P220" s="6">
        <f>HYPERLINK("https://fin.land.naver.com/articles/2646577453", "매물Link")</f>
        <v/>
      </c>
      <c r="Q220" s="6">
        <f>HYPERLINK("https://map.naver.com/p/search/조치원읍 신안리 179-2", "지도Link")</f>
        <v/>
      </c>
      <c r="R220" s="6">
        <f>HYPERLINK("http://www.eum.go.kr/web/ar/lu/luLandDet.jsp?pnu=3611025032101790002&amp;isNoScr=script&amp;mode=search", "토지이음")</f>
        <v/>
      </c>
      <c r="S220" s="3" t="inlineStr">
        <is>
          <t>강우림</t>
        </is>
      </c>
      <c r="T220" s="4" t="n">
        <v>1</v>
      </c>
      <c r="U220" s="5" t="n">
        <v>175</v>
      </c>
      <c r="V220" s="4" t="n">
        <v>360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11</v>
      </c>
      <c r="N221" s="5" t="n">
        <v>272.7</v>
      </c>
      <c r="O221" s="3" t="inlineStr">
        <is>
          <t>리모델링된 깨끗한 원룸</t>
        </is>
      </c>
      <c r="P221" s="6">
        <f>HYPERLINK("https://fin.land.naver.com/articles/2645458074", "매물Link")</f>
        <v/>
      </c>
      <c r="Q221" s="6">
        <f>HYPERLINK("https://map.naver.com/p/search/조치원읍 신안리 193-10", "지도Link")</f>
        <v/>
      </c>
      <c r="R221" s="6">
        <f>HYPERLINK("http://www.eum.go.kr/web/ar/lu/luLandDet.jsp?pnu=3611025032101930010&amp;isNoScr=script&amp;mode=search",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167.4</v>
      </c>
      <c r="V221" s="4" t="n">
        <v>195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105</v>
      </c>
      <c r="N222" s="5" t="n">
        <v>666.7</v>
      </c>
      <c r="O222" s="3" t="inlineStr">
        <is>
          <t>서창역인근,주인세대전세끼고,수익형다가구매매,인근대학교,연수원</t>
        </is>
      </c>
      <c r="P222" s="6">
        <f>HYPERLINK("https://fin.land.naver.com/articles/2647021016", "매물Link")</f>
        <v/>
      </c>
      <c r="Q222" s="6">
        <f>HYPERLINK("https://map.naver.com/p/search/조치원읍 신안리 197-3", "지도Link")</f>
        <v/>
      </c>
      <c r="R222" s="6">
        <f>HYPERLINK("http://www.eum.go.kr/web/ar/lu/luLandDet.jsp?pnu=3611025032101970003&amp;isNoScr=script&amp;mode=search", "토지이음")</f>
        <v/>
      </c>
      <c r="S222" s="3" t="inlineStr">
        <is>
          <t>에이팩시티지정</t>
        </is>
      </c>
      <c r="T222" s="4" t="n">
        <v>1</v>
      </c>
      <c r="U222" s="5" t="n">
        <v>171.6</v>
      </c>
      <c r="V222" s="4" t="n">
        <v>595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90</v>
      </c>
      <c r="N223" s="5" t="n">
        <v>1033.3</v>
      </c>
      <c r="O223" s="3" t="inlineStr">
        <is>
          <t>홍익대초인접 연세잘나오고 수익좋아요 공실없는 수익형다가구</t>
        </is>
      </c>
      <c r="P223" s="6">
        <f>HYPERLINK("https://fin.land.naver.com/articles/2646673124", "매물Link")</f>
        <v/>
      </c>
      <c r="Q223" s="6">
        <f>HYPERLINK("https://map.naver.com/p/search/조치원읍 신안리 329-3", "지도Link")</f>
        <v/>
      </c>
      <c r="R223" s="6">
        <f>HYPERLINK("http://www.eum.go.kr/web/ar/lu/luLandDet.jsp?pnu=3611025032103290003&amp;isNoScr=script&amp;mode=search", "토지이음")</f>
        <v/>
      </c>
      <c r="S223" s="3" t="inlineStr">
        <is>
          <t>세종새빛</t>
        </is>
      </c>
      <c r="T223" s="4" t="n">
        <v>1</v>
      </c>
      <c r="U223" s="5" t="n">
        <v>193.5</v>
      </c>
      <c r="V223" s="4" t="n">
        <v>241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129</v>
      </c>
      <c r="N224" s="5" t="n">
        <v>465.1</v>
      </c>
      <c r="O224" s="3" t="inlineStr">
        <is>
          <t>홍익대학생들의  입소문으로만 임대계약완료, 공실걱정 없음</t>
        </is>
      </c>
      <c r="P224" s="6">
        <f>HYPERLINK("https://fin.land.naver.com/articles/2647256496", "매물Link")</f>
        <v/>
      </c>
      <c r="Q224" s="6">
        <f>HYPERLINK("https://map.naver.com/p/search/조치원읍 신안리 341-1", "지도Link")</f>
        <v/>
      </c>
      <c r="R224" s="6">
        <f>HYPERLINK("http://www.eum.go.kr/web/ar/lu/luLandDet.jsp?pnu=3611025032103410001&amp;isNoScr=script&amp;mode=search",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227</v>
      </c>
      <c r="V224" s="4" t="n">
        <v>271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230000</v>
      </c>
      <c r="H225" s="4" t="n">
        <v>0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100</v>
      </c>
      <c r="N225" s="5" t="n">
        <v>2300</v>
      </c>
      <c r="O225" s="3" t="inlineStr">
        <is>
          <t>고객만족1위, 앞상가 동시매매,세종시 홍익대, 고려대  인근, 투자 최상</t>
        </is>
      </c>
      <c r="P225" s="6">
        <f>HYPERLINK("https://fin.land.naver.com/articles/2646541554", "매물Link")</f>
        <v/>
      </c>
      <c r="Q225" s="6">
        <f>HYPERLINK("https://map.naver.com/p/search/조치원읍 신안리 343-5", "지도Link")</f>
        <v/>
      </c>
      <c r="R225" s="6">
        <f>HYPERLINK("http://www.eum.go.kr/web/ar/lu/luLandDet.jsp?pnu=3611025032103430005&amp;isNoScr=script&amp;mode=search", "토지이음")</f>
        <v/>
      </c>
      <c r="S225" s="3" t="inlineStr">
        <is>
          <t>생생</t>
        </is>
      </c>
      <c r="T225" s="4" t="n">
        <v>1</v>
      </c>
      <c r="U225" s="5" t="n">
        <v>299.6</v>
      </c>
      <c r="V225" s="4" t="n">
        <v>304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72500</v>
      </c>
      <c r="H226" s="4" t="n">
        <v>0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80</v>
      </c>
      <c r="N226" s="5" t="n">
        <v>906.2</v>
      </c>
      <c r="O226" s="3" t="inlineStr">
        <is>
          <t>고객만족1위, 홍익대부근세종캠, 고려대근방세종캠, 조치원역 부근</t>
        </is>
      </c>
      <c r="P226" s="6">
        <f>HYPERLINK("https://fin.land.naver.com/articles/2645913527", "매물Link")</f>
        <v/>
      </c>
      <c r="Q226" s="6">
        <f>HYPERLINK("https://map.naver.com/p/search/조치원읍 신안리 353-19", "지도Link")</f>
        <v/>
      </c>
      <c r="R226" s="6">
        <f>HYPERLINK("http://www.eum.go.kr/web/ar/lu/luLandDet.jsp?pnu=3611025032103530019&amp;isNoScr=script&amp;mode=search", "토지이음")</f>
        <v/>
      </c>
      <c r="S226" s="3" t="inlineStr">
        <is>
          <t>생생</t>
        </is>
      </c>
      <c r="T226" s="4" t="n">
        <v>1</v>
      </c>
      <c r="U226" s="5" t="n">
        <v>210.3</v>
      </c>
      <c r="V226" s="4" t="n">
        <v>156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62000</v>
      </c>
      <c r="H227" s="4" t="n">
        <v>0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80</v>
      </c>
      <c r="N227" s="5" t="n">
        <v>775</v>
      </c>
      <c r="O227" s="3" t="inlineStr">
        <is>
          <t>nan</t>
        </is>
      </c>
      <c r="P227" s="6">
        <f>HYPERLINK("https://fin.land.naver.com/articles/2644120409", "매물Link")</f>
        <v/>
      </c>
      <c r="Q227" s="6">
        <f>HYPERLINK("https://map.naver.com/p/search/조치원읍 신안리 353-19", "지도Link")</f>
        <v/>
      </c>
      <c r="R227" s="6">
        <f>HYPERLINK("http://www.eum.go.kr/web/ar/lu/luLandDet.jsp?pnu=3611025032103530019&amp;isNoScr=script&amp;mode=search",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210.3</v>
      </c>
      <c r="V227" s="4" t="n">
        <v>156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90000</v>
      </c>
      <c r="H228" s="4" t="n">
        <v>0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186</v>
      </c>
      <c r="N228" s="5" t="n">
        <v>483.9</v>
      </c>
      <c r="O228" s="3" t="inlineStr">
        <is>
          <t>대학생들에게 인기 있고 관리가 잘된 원룸입니다.</t>
        </is>
      </c>
      <c r="P228" s="6">
        <f>HYPERLINK("https://fin.land.naver.com/articles/2647249221", "매물Link")</f>
        <v/>
      </c>
      <c r="Q228" s="6">
        <f>HYPERLINK("https://map.naver.com/p/search/조치원읍 신안리 354-40", "지도Link")</f>
        <v/>
      </c>
      <c r="R228" s="6">
        <f>HYPERLINK("http://www.eum.go.kr/web/ar/lu/luLandDet.jsp?pnu=3611025032103540040&amp;isNoScr=script&amp;mode=search",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204</v>
      </c>
      <c r="V228" s="4" t="n">
        <v>273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80000</v>
      </c>
      <c r="H229" s="4" t="n">
        <v>0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158</v>
      </c>
      <c r="N229" s="5" t="n">
        <v>506.3</v>
      </c>
      <c r="O229" s="3" t="inlineStr">
        <is>
          <t>nan</t>
        </is>
      </c>
      <c r="P229" s="6">
        <f>HYPERLINK("https://fin.land.naver.com/articles/2645782172", "매물Link")</f>
        <v/>
      </c>
      <c r="Q229" s="6">
        <f>HYPERLINK("https://map.naver.com/p/search/조치원읍 신안리 373-1", "지도Link")</f>
        <v/>
      </c>
      <c r="R229" s="6">
        <f>HYPERLINK("http://www.eum.go.kr/web/ar/lu/luLandDet.jsp?pnu=3611025032103730001&amp;isNoScr=script&amp;mode=search",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197.1</v>
      </c>
      <c r="V229" s="4" t="n">
        <v>588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99</v>
      </c>
      <c r="N230" s="5" t="n">
        <v>454.5</v>
      </c>
      <c r="O230" s="3" t="inlineStr">
        <is>
          <t>리모델링 원룸 매매</t>
        </is>
      </c>
      <c r="P230" s="6">
        <f>HYPERLINK("https://fin.land.naver.com/articles/2648567043", "매물Link")</f>
        <v/>
      </c>
      <c r="Q230" s="6">
        <f>HYPERLINK("https://map.naver.com/p/search/조치원읍 신안리 383-13", "지도Link")</f>
        <v/>
      </c>
      <c r="R230" s="6">
        <f>HYPERLINK("http://www.eum.go.kr/web/ar/lu/luLandDet.jsp?pnu=3611025032103830013&amp;isNoScr=script&amp;mode=search",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208.6</v>
      </c>
      <c r="V230" s="4" t="n">
        <v>188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68</v>
      </c>
      <c r="N231" s="5" t="n">
        <v>661.8</v>
      </c>
      <c r="O231" s="3" t="inlineStr">
        <is>
          <t>남향, 고려대홍익대 인근 대지 넓은 2층 단독주택</t>
        </is>
      </c>
      <c r="P231" s="6">
        <f>HYPERLINK("https://fin.land.naver.com/articles/2647246878", "매물Link")</f>
        <v/>
      </c>
      <c r="Q231" s="6">
        <f>HYPERLINK("https://map.naver.com/p/search/조치원읍 신안리 383-8", "지도Link")</f>
        <v/>
      </c>
      <c r="R231" s="6">
        <f>HYPERLINK("http://www.eum.go.kr/web/ar/lu/luLandDet.jsp?pnu=3611025032103830008&amp;isNoScr=script&amp;mode=search",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200.1</v>
      </c>
      <c r="V231" s="4" t="n">
        <v>302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35000</v>
      </c>
      <c r="H232" s="4" t="n">
        <v>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47</v>
      </c>
      <c r="N232" s="5" t="n">
        <v>744.7</v>
      </c>
      <c r="O232" s="3" t="inlineStr">
        <is>
          <t>세종시 홍익대 고려대 홍익대정책연구원 인근</t>
        </is>
      </c>
      <c r="P232" s="6">
        <f>HYPERLINK("https://fin.land.naver.com/articles/2647867345", "매물Link")</f>
        <v/>
      </c>
      <c r="Q232" s="6">
        <f>HYPERLINK("https://map.naver.com/p/search/조치원읍 신안리 384-2", "지도Link")</f>
        <v/>
      </c>
      <c r="R232" s="6">
        <f>HYPERLINK("http://www.eum.go.kr/web/ar/lu/luLandDet.jsp?pnu=3611025032103840002&amp;isNoScr=script&amp;mode=search", "토지이음")</f>
        <v/>
      </c>
      <c r="S232" s="3" t="inlineStr">
        <is>
          <t>서울(단지내)</t>
        </is>
      </c>
      <c r="T232" s="4" t="n">
        <v>1</v>
      </c>
      <c r="U232" s="5" t="n">
        <v>206.8</v>
      </c>
      <c r="V232" s="4" t="n">
        <v>252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60000</v>
      </c>
      <c r="H233" s="4" t="n">
        <v>0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149</v>
      </c>
      <c r="N233" s="5" t="n">
        <v>402.7</v>
      </c>
      <c r="O233" s="3" t="inlineStr">
        <is>
          <t>홍익대학교, 고려대학교 후문쪽 위치, 공실없음</t>
        </is>
      </c>
      <c r="P233" s="6">
        <f>HYPERLINK("https://fin.land.naver.com/articles/2647247647", "매물Link")</f>
        <v/>
      </c>
      <c r="Q233" s="6">
        <f>HYPERLINK("https://map.naver.com/p/search/조치원읍 신안리 385-12", "지도Link")</f>
        <v/>
      </c>
      <c r="R233" s="6">
        <f>HYPERLINK("http://www.eum.go.kr/web/ar/lu/luLandDet.jsp?pnu=3611025032103850012&amp;isNoScr=script&amp;mode=search",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192.9</v>
      </c>
      <c r="V233" s="4" t="n">
        <v>322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149</v>
      </c>
      <c r="N234" s="5" t="n">
        <v>402.7</v>
      </c>
      <c r="O234" s="3" t="inlineStr">
        <is>
          <t>nan</t>
        </is>
      </c>
      <c r="P234" s="6">
        <f>HYPERLINK("https://fin.land.naver.com/articles/2645783015", "매물Link")</f>
        <v/>
      </c>
      <c r="Q234" s="6">
        <f>HYPERLINK("https://map.naver.com/p/search/조치원읍 신안리 385-12", "지도Link")</f>
        <v/>
      </c>
      <c r="R234" s="6">
        <f>HYPERLINK("http://www.eum.go.kr/web/ar/lu/luLandDet.jsp?pnu=3611025032103850012&amp;isNoScr=script&amp;mode=search",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192.9</v>
      </c>
      <c r="V234" s="4" t="n">
        <v>322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149</v>
      </c>
      <c r="N235" s="5" t="n">
        <v>402.7</v>
      </c>
      <c r="O235" s="3" t="inlineStr">
        <is>
          <t>홍익대학교 원룸 다가구매매.수익률잘나옴.</t>
        </is>
      </c>
      <c r="P235" s="6">
        <f>HYPERLINK("https://fin.land.naver.com/articles/2644111033", "매물Link")</f>
        <v/>
      </c>
      <c r="Q235" s="6">
        <f>HYPERLINK("https://map.naver.com/p/search/조치원읍 신안리 385-12", "지도Link")</f>
        <v/>
      </c>
      <c r="R235" s="6">
        <f>HYPERLINK("http://www.eum.go.kr/web/ar/lu/luLandDet.jsp?pnu=3611025032103850012&amp;isNoScr=script&amp;mode=search",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192.9</v>
      </c>
      <c r="V235" s="4" t="n">
        <v>322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다가구</t>
        </is>
      </c>
      <c r="F236" s="3" t="inlineStr">
        <is>
          <t>월세</t>
        </is>
      </c>
      <c r="G236" s="4" t="n">
        <v>100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8</v>
      </c>
      <c r="N236" s="5" t="n">
        <v>3.2</v>
      </c>
      <c r="O236" s="3" t="inlineStr">
        <is>
          <t>보증금과 월세가 저렴하고 넓은 방, 고려대, 홍익대 인근임</t>
        </is>
      </c>
      <c r="P236" s="6">
        <f>HYPERLINK("https://fin.land.naver.com/articles/2648513014", "매물Link")</f>
        <v/>
      </c>
      <c r="Q236" s="6">
        <f>HYPERLINK("https://map.naver.com/p/search/조치원읍 신안리 386", "지도Link")</f>
        <v/>
      </c>
      <c r="R236" s="6">
        <f>HYPERLINK("http://www.eum.go.kr/web/ar/lu/luLandDet.jsp?pnu=3611025032103860000&amp;isNoScr=script&amp;mode=search",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192.9</v>
      </c>
      <c r="V236" s="4" t="n">
        <v>295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매매</t>
        </is>
      </c>
      <c r="G237" s="4" t="n">
        <v>110000</v>
      </c>
      <c r="H237" s="4" t="n">
        <v>0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180</v>
      </c>
      <c r="N237" s="5" t="n">
        <v>611.1</v>
      </c>
      <c r="O237" s="3" t="inlineStr">
        <is>
          <t>고대와 홍대사이의 인기있는 원룸으로 공실없음</t>
        </is>
      </c>
      <c r="P237" s="6">
        <f>HYPERLINK("https://fin.land.naver.com/articles/2647249766", "매물Link")</f>
        <v/>
      </c>
      <c r="Q237" s="6">
        <f>HYPERLINK("https://map.naver.com/p/search/조치원읍 신안리 387-5", "지도Link")</f>
        <v/>
      </c>
      <c r="R237" s="6">
        <f>HYPERLINK("http://www.eum.go.kr/web/ar/lu/luLandDet.jsp?pnu=3611025032103870005&amp;isNoScr=script&amp;mode=search",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182.9</v>
      </c>
      <c r="V237" s="4" t="n">
        <v>351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180</v>
      </c>
      <c r="N238" s="5" t="n">
        <v>594.4</v>
      </c>
      <c r="O238" s="3" t="inlineStr">
        <is>
          <t>고대홍대 매년 공실X 수익율 좋은 다가구</t>
        </is>
      </c>
      <c r="P238" s="6">
        <f>HYPERLINK("https://fin.land.naver.com/articles/2645237870", "매물Link")</f>
        <v/>
      </c>
      <c r="Q238" s="6">
        <f>HYPERLINK("https://map.naver.com/p/search/조치원읍 신안리 387-5", "지도Link")</f>
        <v/>
      </c>
      <c r="R238" s="6">
        <f>HYPERLINK("http://www.eum.go.kr/web/ar/lu/luLandDet.jsp?pnu=3611025032103870005&amp;isNoScr=script&amp;mode=search", "토지이음")</f>
        <v/>
      </c>
      <c r="S238" s="3" t="inlineStr">
        <is>
          <t>무지개</t>
        </is>
      </c>
      <c r="T238" s="4" t="n">
        <v>1</v>
      </c>
      <c r="U238" s="5" t="n">
        <v>182.9</v>
      </c>
      <c r="V238" s="4" t="n">
        <v>351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20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5</v>
      </c>
      <c r="N239" s="5" t="n">
        <v>4</v>
      </c>
      <c r="O239" s="3" t="inlineStr">
        <is>
          <t>한달28만원에 공과금 모두 포함, 추가금 없음</t>
        </is>
      </c>
      <c r="P239" s="6">
        <f>HYPERLINK("https://fin.land.naver.com/articles/2648554234", "매물Link")</f>
        <v/>
      </c>
      <c r="Q239" s="6">
        <f>HYPERLINK("https://map.naver.com/p/search/조치원읍 신안리 389-8", "지도Link")</f>
        <v/>
      </c>
      <c r="R239" s="6">
        <f>HYPERLINK("http://www.eum.go.kr/web/ar/lu/luLandDet.jsp?pnu=3611025032103890008&amp;isNoScr=script&amp;mode=search", "토지이음")</f>
        <v/>
      </c>
      <c r="S239" s="3" t="inlineStr">
        <is>
          <t>부자터</t>
        </is>
      </c>
      <c r="T239" s="4" t="n">
        <v>1</v>
      </c>
      <c r="U239" s="5" t="n">
        <v>363.6</v>
      </c>
      <c r="V239" s="4" t="n">
        <v>294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4500</v>
      </c>
      <c r="H240" s="4" t="n">
        <v>0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8</v>
      </c>
      <c r="N240" s="5" t="n">
        <v>562.5</v>
      </c>
      <c r="O240" s="3" t="inlineStr">
        <is>
          <t>공과금 모두 포함하여 1달 15만원 추가비용없음</t>
        </is>
      </c>
      <c r="P240" s="6">
        <f>HYPERLINK("https://fin.land.naver.com/articles/2647185496", "매물Link")</f>
        <v/>
      </c>
      <c r="Q240" s="6">
        <f>HYPERLINK("https://map.naver.com/p/search/조치원읍 신안리 389-8", "지도Link")</f>
        <v/>
      </c>
      <c r="R240" s="6">
        <f>HYPERLINK("http://www.eum.go.kr/web/ar/lu/luLandDet.jsp?pnu=3611025032103890008&amp;isNoScr=script&amp;mode=search",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363.6</v>
      </c>
      <c r="V240" s="4" t="n">
        <v>294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</v>
      </c>
      <c r="H241" s="4" t="n">
        <v>38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4</v>
      </c>
      <c r="N241" s="5" t="n">
        <v>9.5</v>
      </c>
      <c r="O241" s="3" t="inlineStr">
        <is>
          <t>출퇴근용으로 거주하기 좋은 저렴한 원룸단기가능모든공과금포함</t>
        </is>
      </c>
      <c r="P241" s="6">
        <f>HYPERLINK("https://fin.land.naver.com/articles/2647381579", "매물Link")</f>
        <v/>
      </c>
      <c r="Q241" s="6">
        <f>HYPERLINK("https://map.naver.com/p/search/조치원읍 신안리 393-12", "지도Link")</f>
        <v/>
      </c>
      <c r="R241" s="6">
        <f>HYPERLINK("http://www.eum.go.kr/web/ar/lu/luLandDet.jsp?pnu=3611025032103930012&amp;isNoScr=script&amp;mode=search", "토지이음")</f>
        <v/>
      </c>
      <c r="S241" s="3" t="inlineStr">
        <is>
          <t>무지개</t>
        </is>
      </c>
      <c r="T241" s="4" t="n">
        <v>1</v>
      </c>
      <c r="U241" s="5" t="n">
        <v>202.2</v>
      </c>
      <c r="V241" s="4" t="n">
        <v>319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단독</t>
        </is>
      </c>
      <c r="F242" s="3" t="inlineStr">
        <is>
          <t>매매</t>
        </is>
      </c>
      <c r="G242" s="4" t="n">
        <v>90000</v>
      </c>
      <c r="H242" s="4" t="n">
        <v>0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99</v>
      </c>
      <c r="N242" s="5" t="n">
        <v>909.1</v>
      </c>
      <c r="O242" s="3" t="inlineStr">
        <is>
          <t>수익률 10 년수익 5,145만원 원룸 통매매</t>
        </is>
      </c>
      <c r="P242" s="6">
        <f>HYPERLINK("https://fin.land.naver.com/articles/2648570400", "매물Link")</f>
        <v/>
      </c>
      <c r="Q242" s="6">
        <f>HYPERLINK("https://map.naver.com/p/search/조치원읍 신안리 394-35", "지도Link")</f>
        <v/>
      </c>
      <c r="R242" s="6">
        <f>HYPERLINK("http://www.eum.go.kr/web/ar/lu/luLandDet.jsp?pnu=3611025032103940035&amp;isNoScr=script&amp;mode=search", "토지이음")</f>
        <v/>
      </c>
      <c r="S242" s="3" t="inlineStr">
        <is>
          <t>고래</t>
        </is>
      </c>
      <c r="T242" s="4" t="n">
        <v>1</v>
      </c>
      <c r="U242" s="5" t="n">
        <v>235.1</v>
      </c>
      <c r="V242" s="4" t="n">
        <v>311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100</v>
      </c>
      <c r="N243" s="5" t="n">
        <v>1000</v>
      </c>
      <c r="O243" s="3" t="inlineStr">
        <is>
          <t>수익률8프로대,총세대수18가구,연세계약,공실없음</t>
        </is>
      </c>
      <c r="P243" s="6">
        <f>HYPERLINK("https://fin.land.naver.com/articles/2644625360", "매물Link")</f>
        <v/>
      </c>
      <c r="Q243" s="6">
        <f>HYPERLINK("https://map.naver.com/p/search/조치원읍 신안리 394-38", "지도Link")</f>
        <v/>
      </c>
      <c r="R243" s="6">
        <f>HYPERLINK("http://www.eum.go.kr/web/ar/lu/luLandDet.jsp?pnu=3611025032103940038&amp;isNoScr=script&amp;mode=search", "토지이음")</f>
        <v/>
      </c>
      <c r="S243" s="3" t="inlineStr">
        <is>
          <t>오송올래</t>
        </is>
      </c>
      <c r="T243" s="4" t="n">
        <v>1</v>
      </c>
      <c r="U243" s="5" t="n">
        <v>227.9</v>
      </c>
      <c r="V243" s="4" t="n">
        <v>289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HYPERLINK("https://fin.land.naver.com/articles/2644110570",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49000</v>
      </c>
      <c r="H245" s="4" t="n">
        <v>0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120</v>
      </c>
      <c r="N245" s="5" t="n">
        <v>408.3</v>
      </c>
      <c r="O245" s="3" t="inlineStr">
        <is>
          <t>홍대 후문 1분 거리로 선호하는 위치,수익률 좋고 투자 비용 낮음</t>
        </is>
      </c>
      <c r="P245" s="6">
        <f>HYPERLINK("https://fin.land.naver.com/articles/2643931071", "매물Link")</f>
        <v/>
      </c>
      <c r="Q245" s="6">
        <f>HYPERLINK("https://map.naver.com/p/search/조치원읍 신안리 445-9", "지도Link")</f>
        <v/>
      </c>
      <c r="R245" s="6">
        <f>HYPERLINK("http://www.eum.go.kr/web/ar/lu/luLandDet.jsp?pnu=3611025032104450009&amp;isNoScr=script&amp;mode=search", "토지이음")</f>
        <v/>
      </c>
      <c r="S245" s="3" t="inlineStr">
        <is>
          <t>유정희</t>
        </is>
      </c>
      <c r="T245" s="4" t="n">
        <v>1</v>
      </c>
      <c r="U245" s="5" t="n">
        <v>217</v>
      </c>
      <c r="V245" s="4" t="n">
        <v>268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빌라</t>
        </is>
      </c>
      <c r="F246" s="3" t="inlineStr">
        <is>
          <t>전세</t>
        </is>
      </c>
      <c r="G246" s="4" t="n">
        <v>3500</v>
      </c>
      <c r="H246" s="4" t="n">
        <v>0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17</v>
      </c>
      <c r="N246" s="5" t="n">
        <v>205.9</v>
      </c>
      <c r="O246" s="3" t="inlineStr">
        <is>
          <t>일부리모델링 됨. 이사협의 가능. 도배.장판 새로.깨끗한 호실.</t>
        </is>
      </c>
      <c r="P246" s="6">
        <f>HYPERLINK("https://fin.land.naver.com/articles/2648775732", "매물Link")</f>
        <v/>
      </c>
      <c r="Q246" s="6">
        <f>HYPERLINK("https://map.naver.com/p/search/조치원읍 신흥리 17-2", "지도Link")</f>
        <v/>
      </c>
      <c r="R246" s="6">
        <f>HYPERLINK("http://www.eum.go.kr/web/ar/lu/luLandDet.jsp?pnu=3611025029100170002&amp;isNoScr=script&amp;mode=search", "토지이음")</f>
        <v/>
      </c>
      <c r="S246" s="3" t="inlineStr">
        <is>
          <t>굿모닝</t>
        </is>
      </c>
      <c r="T246" s="4" t="n">
        <v>1</v>
      </c>
      <c r="U246" s="5" t="n">
        <v>162.7</v>
      </c>
      <c r="V246" s="4" t="n">
        <v>451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완경사</t>
        </is>
      </c>
      <c r="Z246" s="3" t="inlineStr">
        <is>
          <t>가로장방</t>
        </is>
      </c>
      <c r="AA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22</v>
      </c>
      <c r="N247" s="5" t="n">
        <v>1636.4</v>
      </c>
      <c r="O247" s="3" t="inlineStr">
        <is>
          <t>신흥리 위치 좋은 곳 단독주택</t>
        </is>
      </c>
      <c r="P247" s="6">
        <f>HYPERLINK("https://fin.land.naver.com/articles/2647576467", "매물Link")</f>
        <v/>
      </c>
      <c r="Q247" s="6">
        <f>HYPERLINK("https://map.naver.com/p/search/조치원읍 신흥리 26-1", "지도Link")</f>
        <v/>
      </c>
      <c r="R247" s="6">
        <f>HYPERLINK("http://www.eum.go.kr/web/ar/lu/luLandDet.jsp?pnu=3611025029100260001&amp;isNoScr=script&amp;mode=search",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185.6</v>
      </c>
      <c r="V247" s="4" t="n">
        <v>284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21</v>
      </c>
      <c r="N248" s="5" t="n">
        <v>5238.1</v>
      </c>
      <c r="O248" s="3" t="inlineStr">
        <is>
          <t>토지 가치가 돋보이는 주택입니다</t>
        </is>
      </c>
      <c r="P248" s="6">
        <f>HYPERLINK("https://fin.land.naver.com/articles/2647355842", "매물Link")</f>
        <v/>
      </c>
      <c r="Q248" s="6">
        <f>HYPERLINK("https://map.naver.com/p/search/조치원읍 신흥리 63-10", "지도Link")</f>
        <v/>
      </c>
      <c r="R248" s="6">
        <f>HYPERLINK("http://www.eum.go.kr/web/ar/lu/luLandDet.jsp?pnu=3611025029100630010&amp;isNoScr=script&amp;mode=search", "토지이음")</f>
        <v/>
      </c>
      <c r="S248" s="3" t="inlineStr">
        <is>
          <t>캠퍼스</t>
        </is>
      </c>
      <c r="T248" s="4" t="n">
        <v>1</v>
      </c>
      <c r="U248" s="5" t="n">
        <v>257.8</v>
      </c>
      <c r="V248" s="4" t="n">
        <v>345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26000</v>
      </c>
      <c r="H250" s="4" t="n">
        <v>0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42</v>
      </c>
      <c r="N250" s="5" t="n">
        <v>619</v>
      </c>
      <c r="O250" s="3" t="inlineStr">
        <is>
          <t>원리 서독안경원 골목 먹자골목내 자기상가하면서 거주하실분 추천</t>
        </is>
      </c>
      <c r="P250" s="6">
        <f>HYPERLINK("https://fin.land.naver.com/articles/2646830435", "매물Link")</f>
        <v/>
      </c>
      <c r="Q250" s="6">
        <f>HYPERLINK("https://map.naver.com/p/search/조치원읍 원리 15-9", "지도Link")</f>
        <v/>
      </c>
      <c r="R250" s="6">
        <f>HYPERLINK("http://www.eum.go.kr/web/ar/lu/luLandDet.jsp?pnu=3611025021100150009&amp;isNoScr=script&amp;mode=search",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641.3</v>
      </c>
      <c r="V250" s="4" t="n">
        <v>67.8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일반상업지역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상가주택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109</v>
      </c>
      <c r="N251" s="5" t="n">
        <v>1100.9</v>
      </c>
      <c r="O251" s="3" t="inlineStr">
        <is>
          <t>조치원역 회전교차로 인근 최상위치</t>
        </is>
      </c>
      <c r="P251" s="6">
        <f>HYPERLINK("https://fin.land.naver.com/articles/2645226980", "매물Link")</f>
        <v/>
      </c>
      <c r="Q251" s="6">
        <f>HYPERLINK("https://map.naver.com/p/search/조치원읍 원리 9-29", "지도Link")</f>
        <v/>
      </c>
      <c r="R251" s="6">
        <f>HYPERLINK("http://www.eum.go.kr/web/ar/lu/luLandDet.jsp?pnu=3611025021100090029&amp;isNoScr=script&amp;mode=search",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1102.1</v>
      </c>
      <c r="V251" s="4" t="n">
        <v>134.9</v>
      </c>
      <c r="W251" s="3" t="inlineStr">
        <is>
          <t>지정되지않음</t>
        </is>
      </c>
      <c r="X251" s="3" t="inlineStr">
        <is>
          <t>상업용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160000</v>
      </c>
      <c r="H253" s="4" t="n">
        <v>0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210</v>
      </c>
      <c r="N253" s="5" t="n">
        <v>761.9</v>
      </c>
      <c r="O253" s="3" t="inlineStr">
        <is>
          <t>o몽땅o수익률9프로</t>
        </is>
      </c>
      <c r="P253" s="6">
        <f>HYPERLINK("https://fin.land.naver.com/articles/2644377680", "매물Link")</f>
        <v/>
      </c>
      <c r="Q253" s="6">
        <f>HYPERLINK("https://map.naver.com/p/search/조치원읍 죽림리 338-2", "지도Link")</f>
        <v/>
      </c>
      <c r="R253" s="6">
        <f>HYPERLINK("http://www.eum.go.kr/web/ar/lu/luLandDet.jsp?pnu=3611025030103380002&amp;isNoScr=script&amp;mode=search", "토지이음")</f>
        <v/>
      </c>
      <c r="S253" s="3" t="inlineStr">
        <is>
          <t>세종몽땅</t>
        </is>
      </c>
      <c r="T253" s="4" t="n">
        <v>1</v>
      </c>
      <c r="U253" s="5" t="n">
        <v>273.3</v>
      </c>
      <c r="V253" s="4" t="n">
        <v>502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8300</v>
      </c>
      <c r="H256" s="4" t="n">
        <v>0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9</v>
      </c>
      <c r="N256" s="5" t="n">
        <v>922.2</v>
      </c>
      <c r="O256" s="3" t="inlineStr">
        <is>
          <t>급매</t>
        </is>
      </c>
      <c r="P256" s="6">
        <f>HYPERLINK("https://fin.land.naver.com/articles/2643972920", "매물Link")</f>
        <v/>
      </c>
      <c r="Q256" s="6">
        <f>HYPERLINK("https://map.naver.com/p/search/조치원읍 침산리 131-7", "지도Link")</f>
        <v/>
      </c>
      <c r="R256" s="6">
        <f>HYPERLINK("http://www.eum.go.kr/web/ar/lu/luLandDet.jsp?pnu=3611025028101310007&amp;isNoScr=script&amp;mode=search", "토지이음")</f>
        <v/>
      </c>
      <c r="S256" s="3" t="inlineStr">
        <is>
          <t>진황금</t>
        </is>
      </c>
      <c r="T256" s="4" t="n">
        <v>1</v>
      </c>
      <c r="U256" s="5" t="n">
        <v>242.5</v>
      </c>
      <c r="V256" s="4" t="n">
        <v>55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5</v>
      </c>
      <c r="N257" s="5" t="n">
        <v>4.6</v>
      </c>
      <c r="O257" s="3" t="inlineStr">
        <is>
          <t>뉴리모델링O조치원역부근O모두새것O햇살가득</t>
        </is>
      </c>
      <c r="P257" s="6">
        <f>HYPERLINK("https://fin.land.naver.com/articles/2646886305", "매물Link")</f>
        <v/>
      </c>
      <c r="Q257" s="6">
        <f>HYPERLINK("https://map.naver.com/p/search/조치원읍 침산리 132-2", "지도Link")</f>
        <v/>
      </c>
      <c r="R257" s="6">
        <f>HYPERLINK("http://www.eum.go.kr/web/ar/lu/luLandDet.jsp?pnu=3611025028101320002&amp;isNoScr=script&amp;mode=search",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303.2</v>
      </c>
      <c r="V257" s="4" t="n">
        <v>209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52000</v>
      </c>
      <c r="H258" s="4" t="n">
        <v>0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44</v>
      </c>
      <c r="N258" s="5" t="n">
        <v>1181.8</v>
      </c>
      <c r="O258" s="3" t="inlineStr">
        <is>
          <t>조치원역 서쪽 4차선 도로접함 1층 상가 2층 주택이용하실분 추천</t>
        </is>
      </c>
      <c r="P258" s="6">
        <f>HYPERLINK("https://fin.land.naver.com/articles/2646832247", "매물Link")</f>
        <v/>
      </c>
      <c r="Q258" s="6">
        <f>HYPERLINK("https://map.naver.com/p/search/조치원읍 침산리 144-9", "지도Link")</f>
        <v/>
      </c>
      <c r="R258" s="6">
        <f>HYPERLINK("http://www.eum.go.kr/web/ar/lu/luLandDet.jsp?pnu=3611025028101440009&amp;isNoScr=script&amp;mode=search", "토지이음")</f>
        <v/>
      </c>
      <c r="S258" s="3" t="inlineStr">
        <is>
          <t>OK수</t>
        </is>
      </c>
      <c r="T258" s="4" t="n">
        <v>1</v>
      </c>
      <c r="U258" s="5" t="n">
        <v>404.6</v>
      </c>
      <c r="V258" s="4" t="n">
        <v>129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7000</v>
      </c>
      <c r="H259" s="4" t="n">
        <v>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11</v>
      </c>
      <c r="N259" s="5" t="n">
        <v>636.4</v>
      </c>
      <c r="O259" s="3" t="inlineStr">
        <is>
          <t>nan</t>
        </is>
      </c>
      <c r="P259" s="6">
        <f>HYPERLINK("https://fin.land.naver.com/articles/2643973914", "매물Link")</f>
        <v/>
      </c>
      <c r="Q259" s="6">
        <f>HYPERLINK("https://map.naver.com/p/search/조치원읍 침산리 148", "지도Link")</f>
        <v/>
      </c>
      <c r="R259" s="6">
        <f>HYPERLINK("http://www.eum.go.kr/web/ar/lu/luLandDet.jsp?pnu=3611025028101480000&amp;isNoScr=script&amp;mode=search", "토지이음")</f>
        <v/>
      </c>
      <c r="S259" s="3" t="inlineStr">
        <is>
          <t>진황금</t>
        </is>
      </c>
      <c r="T259" s="4" t="n">
        <v>1</v>
      </c>
      <c r="U259" s="5" t="n">
        <v>161.4</v>
      </c>
      <c r="V259" s="4" t="n">
        <v>432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완경사</t>
        </is>
      </c>
      <c r="Z259" s="3" t="inlineStr">
        <is>
          <t>가로장방</t>
        </is>
      </c>
      <c r="AA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전세</t>
        </is>
      </c>
      <c r="G260" s="4" t="n">
        <v>6800</v>
      </c>
      <c r="H260" s="4" t="n">
        <v>0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23</v>
      </c>
      <c r="N260" s="5" t="n">
        <v>295.7</v>
      </c>
      <c r="O260" s="3" t="inlineStr">
        <is>
          <t>공실,귀한 전세,보증보험가능,방이 큰 빌라</t>
        </is>
      </c>
      <c r="P260" s="6">
        <f>HYPERLINK("https://fin.land.naver.com/articles/2645805671", "매물Link")</f>
        <v/>
      </c>
      <c r="Q260" s="6">
        <f>HYPERLINK("https://map.naver.com/p/search/조치원읍 침산리 148-3", "지도Link")</f>
        <v/>
      </c>
      <c r="R260" s="6">
        <f>HYPERLINK("http://www.eum.go.kr/web/ar/lu/luLandDet.jsp?pnu=3611025028101480003&amp;isNoScr=script&amp;mode=search", "토지이음")</f>
        <v/>
      </c>
      <c r="S260" s="3" t="inlineStr">
        <is>
          <t>이천하이닉스사무소</t>
        </is>
      </c>
      <c r="T260" s="4" t="n">
        <v>1</v>
      </c>
      <c r="U260" s="5" t="n">
        <v>210.4</v>
      </c>
      <c r="V260" s="4" t="n">
        <v>645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7000</v>
      </c>
      <c r="H261" s="4" t="n">
        <v>0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23</v>
      </c>
      <c r="N261" s="5" t="n">
        <v>304.3</v>
      </c>
      <c r="O261" s="3" t="inlineStr">
        <is>
          <t>공실,역세권 빌라,막히지 않은 조망,방이 큰 빌라</t>
        </is>
      </c>
      <c r="P261" s="6">
        <f>HYPERLINK("https://fin.land.naver.com/articles/2647281789", "매물Link")</f>
        <v/>
      </c>
      <c r="Q261" s="6">
        <f>HYPERLINK("https://map.naver.com/p/search/조치원읍 침산리 148-3", "지도Link")</f>
        <v/>
      </c>
      <c r="R261" s="6">
        <f>HYPERLINK("http://www.eum.go.kr/web/ar/lu/luLandDet.jsp?pnu=3611025028101480003&amp;isNoScr=script&amp;mode=search", "토지이음")</f>
        <v/>
      </c>
      <c r="S261" s="3" t="inlineStr">
        <is>
          <t>이천하이닉스사무소</t>
        </is>
      </c>
      <c r="T261" s="4" t="n">
        <v>1</v>
      </c>
      <c r="U261" s="5" t="n">
        <v>210.4</v>
      </c>
      <c r="V261" s="4" t="n">
        <v>645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300</v>
      </c>
      <c r="H262" s="4" t="n">
        <v>50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9</v>
      </c>
      <c r="N262" s="5" t="n">
        <v>5.6</v>
      </c>
      <c r="O262" s="3" t="inlineStr">
        <is>
          <t>투룸 방2 월세</t>
        </is>
      </c>
      <c r="P262" s="6">
        <f>HYPERLINK("https://fin.land.naver.com/articles/2647861513", "매물Link")</f>
        <v/>
      </c>
      <c r="Q262" s="6">
        <f>HYPERLINK("https://map.naver.com/p/search/조치원읍 침산리 251-6", "지도Link")</f>
        <v/>
      </c>
      <c r="R262" s="6">
        <f>HYPERLINK("http://www.eum.go.kr/web/ar/lu/luLandDet.jsp?pnu=3611025028102510006&amp;isNoScr=script&amp;mode=search",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526</v>
      </c>
      <c r="V262" s="4" t="n">
        <v>277.7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55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12</v>
      </c>
      <c r="N263" s="5" t="n">
        <v>4.6</v>
      </c>
      <c r="O263" s="3" t="inlineStr">
        <is>
          <t>침산리 투룸 월세 고려대 인접 상권 인프라 완벽한 화성타운</t>
        </is>
      </c>
      <c r="P263" s="6">
        <f>HYPERLINK("https://fin.land.naver.com/articles/2647479834",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번암주공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45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8</v>
      </c>
      <c r="N264" s="5" t="n">
        <v>5.6</v>
      </c>
      <c r="O264" s="3" t="inlineStr">
        <is>
          <t>큰방2개 2룸</t>
        </is>
      </c>
      <c r="P264" s="6">
        <f>HYPERLINK("https://fin.land.naver.com/articles/2648309224",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12</v>
      </c>
      <c r="N266" s="5" t="n">
        <v>3.8</v>
      </c>
      <c r="O266" s="3" t="inlineStr">
        <is>
          <t>원룸 2개구조. 2인숙소 강추.</t>
        </is>
      </c>
      <c r="P266" s="6">
        <f>HYPERLINK("https://fin.land.naver.com/articles/2649229081", "매물Link")</f>
        <v/>
      </c>
      <c r="Q266" s="6">
        <f>HYPERLINK("https://map.naver.com/p/search/조치원읍 침산리 255-4", "지도Link")</f>
        <v/>
      </c>
      <c r="R266" s="6">
        <f>HYPERLINK("http://www.eum.go.kr/web/ar/lu/luLandDet.jsp?pnu=3611025028102550004&amp;isNoScr=script&amp;mode=search",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289.8</v>
      </c>
      <c r="V266" s="4" t="n">
        <v>216.9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10</v>
      </c>
      <c r="N267" s="5" t="n">
        <v>4.5</v>
      </c>
      <c r="O267" s="3" t="inlineStr">
        <is>
          <t>화장실2개 에어컨 2개    2룸</t>
        </is>
      </c>
      <c r="P267" s="6">
        <f>HYPERLINK("https://fin.land.naver.com/articles/2649435819",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500</v>
      </c>
      <c r="H268" s="4" t="n">
        <v>55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12</v>
      </c>
      <c r="N268" s="5" t="n">
        <v>4.6</v>
      </c>
      <c r="O268" s="3" t="inlineStr">
        <is>
          <t>2개.귀한투룸.상권좋고. 즉시입주가능</t>
        </is>
      </c>
      <c r="P268" s="6">
        <f>HYPERLINK("https://fin.land.naver.com/articles/2646624768", "매물Link")</f>
        <v/>
      </c>
      <c r="Q268" s="6">
        <f>HYPERLINK("https://map.naver.com/p/search/조치원읍 침산리 258-1", "지도Link")</f>
        <v/>
      </c>
      <c r="R268" s="6">
        <f>HYPERLINK("http://www.eum.go.kr/web/ar/lu/luLandDet.jsp?pnu=3611025028102580001&amp;isNoScr=script&amp;mode=search",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346.8</v>
      </c>
      <c r="V268" s="4" t="n">
        <v>237.5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28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</v>
      </c>
      <c r="O269" s="3" t="inlineStr">
        <is>
          <t>nan</t>
        </is>
      </c>
      <c r="P269" s="6">
        <f>HYPERLINK("https://fin.land.naver.com/articles/2648302133", "매물Link")</f>
        <v/>
      </c>
      <c r="Q269" s="6">
        <f>HYPERLINK("https://map.naver.com/p/search/조치원읍 침산리 265-11", "지도Link")</f>
        <v/>
      </c>
      <c r="R269" s="6">
        <f>HYPERLINK("http://www.eum.go.kr/web/ar/lu/luLandDet.jsp?pnu=3611025028102650011&amp;isNoScr=script&amp;mode=search",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415.5</v>
      </c>
      <c r="V269" s="4" t="n">
        <v>190.7</v>
      </c>
      <c r="W269" s="3" t="inlineStr">
        <is>
          <t>지정되지않음</t>
        </is>
      </c>
      <c r="X269" s="3" t="inlineStr">
        <is>
          <t>주상기타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40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9</v>
      </c>
      <c r="N270" s="5" t="n">
        <v>4.4</v>
      </c>
      <c r="O270" s="3" t="inlineStr">
        <is>
          <t>투베이 분리형 이사협의</t>
        </is>
      </c>
      <c r="P270" s="6">
        <f>HYPERLINK("https://fin.land.naver.com/articles/2648493335", "매물Link")</f>
        <v/>
      </c>
      <c r="Q270" s="6">
        <f>HYPERLINK("https://map.naver.com/p/search/조치원읍 침산리 265-9", "지도Link")</f>
        <v/>
      </c>
      <c r="R270" s="6">
        <f>HYPERLINK("http://www.eum.go.kr/web/ar/lu/luLandDet.jsp?pnu=3611025028102650009&amp;isNoScr=script&amp;mode=search", "토지이음")</f>
        <v/>
      </c>
      <c r="S270" s="3" t="inlineStr">
        <is>
          <t>김준희</t>
        </is>
      </c>
      <c r="T270" s="4" t="n">
        <v>1</v>
      </c>
      <c r="U270" s="5" t="n">
        <v>419.8</v>
      </c>
      <c r="V270" s="4" t="n">
        <v>274.8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100000</v>
      </c>
      <c r="H271" s="4" t="n">
        <v>0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143</v>
      </c>
      <c r="N271" s="5" t="n">
        <v>699.3</v>
      </c>
      <c r="O271" s="3" t="inlineStr">
        <is>
          <t>nan</t>
        </is>
      </c>
      <c r="P271" s="6">
        <f>HYPERLINK("https://fin.land.naver.com/articles/2649229764", "매물Link")</f>
        <v/>
      </c>
      <c r="Q271" s="6">
        <f>HYPERLINK("https://map.naver.com/p/search/조치원읍 침산리 266-12", "지도Link")</f>
        <v/>
      </c>
      <c r="R271" s="6">
        <f>HYPERLINK("http://www.eum.go.kr/web/ar/lu/luLandDet.jsp?pnu=3611025028102660012&amp;isNoScr=script&amp;mode=search", "토지이음")</f>
        <v/>
      </c>
      <c r="S271" s="3" t="inlineStr">
        <is>
          <t>김준희</t>
        </is>
      </c>
      <c r="T271" s="4" t="n">
        <v>1</v>
      </c>
      <c r="U271" s="5" t="n">
        <v>318.2</v>
      </c>
      <c r="V271" s="4" t="n">
        <v>259.5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30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7</v>
      </c>
      <c r="N272" s="5" t="n">
        <v>4.3</v>
      </c>
      <c r="O272" s="3" t="inlineStr">
        <is>
          <t>침산리 원룸 월세 보100 월30 관리비10</t>
        </is>
      </c>
      <c r="P272" s="6">
        <f>HYPERLINK("https://fin.land.naver.com/articles/2647838658", "매물Link")</f>
        <v/>
      </c>
      <c r="Q272" s="6">
        <f>HYPERLINK("https://map.naver.com/p/search/조치원읍 침산리 267-11", "지도Link")</f>
        <v/>
      </c>
      <c r="R272" s="6">
        <f>HYPERLINK("http://www.eum.go.kr/web/ar/lu/luLandDet.jsp?pnu=3611025028102670011&amp;isNoScr=script&amp;mode=search", "토지이음")</f>
        <v/>
      </c>
      <c r="S272" s="3" t="inlineStr">
        <is>
          <t>김준희</t>
        </is>
      </c>
      <c r="T272" s="4" t="n">
        <v>1</v>
      </c>
      <c r="U272" s="5" t="n">
        <v>286.8</v>
      </c>
      <c r="V272" s="4" t="n">
        <v>254.5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7</v>
      </c>
      <c r="N273" s="5" t="n">
        <v>4.3</v>
      </c>
      <c r="O273" s="3" t="inlineStr">
        <is>
          <t>욱일앞 생활편의 시설 좋은 위치</t>
        </is>
      </c>
      <c r="P273" s="6">
        <f>HYPERLINK("https://fin.land.naver.com/articles/2648305935", "매물Link")</f>
        <v/>
      </c>
      <c r="Q273" s="6">
        <f>HYPERLINK("https://map.naver.com/p/search/조치원읍 침산리 267-11", "지도Link")</f>
        <v/>
      </c>
      <c r="R273" s="6">
        <f>HYPERLINK("http://www.eum.go.kr/web/ar/lu/luLandDet.jsp?pnu=3611025028102670011&amp;isNoScr=script&amp;mode=search",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286.8</v>
      </c>
      <c r="V273" s="4" t="n">
        <v>254.5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32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8</v>
      </c>
      <c r="N274" s="5" t="n">
        <v>4</v>
      </c>
      <c r="O274" s="3" t="inlineStr">
        <is>
          <t>넓고 깔끔한 풀옵션 완비방  엘베는기본  주방분리  짐만 가져오세요</t>
        </is>
      </c>
      <c r="P274" s="6">
        <f>HYPERLINK("https://fin.land.naver.com/articles/2648333716", "매물Link")</f>
        <v/>
      </c>
      <c r="Q274" s="6">
        <f>HYPERLINK("https://map.naver.com/p/search/조치원읍 침산리 267-7", "지도Link")</f>
        <v/>
      </c>
      <c r="R274" s="6">
        <f>HYPERLINK("http://www.eum.go.kr/web/ar/lu/luLandDet.jsp?pnu=3611025028102670007&amp;isNoScr=script&amp;mode=search",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428.4</v>
      </c>
      <c r="V274" s="4" t="n">
        <v>337.6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93000</v>
      </c>
      <c r="H275" s="4" t="n">
        <v>0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112</v>
      </c>
      <c r="N275" s="5" t="n">
        <v>830.4</v>
      </c>
      <c r="O275" s="3" t="inlineStr">
        <is>
          <t>관리잘됨. 공실 걱정 없는 곳. 역5분</t>
        </is>
      </c>
      <c r="P275" s="6">
        <f>HYPERLINK("https://fin.land.naver.com/articles/2644120482", "매물Link")</f>
        <v/>
      </c>
      <c r="Q275" s="6">
        <f>HYPERLINK("https://map.naver.com/p/search/조치원읍 침산리 277-15", "지도Link")</f>
        <v/>
      </c>
      <c r="R275" s="6">
        <f>HYPERLINK("http://www.eum.go.kr/web/ar/lu/luLandDet.jsp?pnu=3611025028102770015&amp;isNoScr=script&amp;mode=search", "토지이음")</f>
        <v/>
      </c>
      <c r="S275" s="3" t="inlineStr">
        <is>
          <t>바다</t>
        </is>
      </c>
      <c r="T275" s="4" t="n">
        <v>1</v>
      </c>
      <c r="U275" s="5" t="n">
        <v>283.1</v>
      </c>
      <c r="V275" s="4" t="n">
        <v>227.9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31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8</v>
      </c>
      <c r="N276" s="5" t="n">
        <v>3.9</v>
      </c>
      <c r="O276" s="3" t="inlineStr">
        <is>
          <t>분리형원룸.즉시입주가능.</t>
        </is>
      </c>
      <c r="P276" s="6">
        <f>HYPERLINK("https://fin.land.naver.com/articles/2646875981", "매물Link")</f>
        <v/>
      </c>
      <c r="Q276" s="6">
        <f>HYPERLINK("https://map.naver.com/p/search/조치원읍 침산리 277-15", "지도Link")</f>
        <v/>
      </c>
      <c r="R276" s="6">
        <f>HYPERLINK("http://www.eum.go.kr/web/ar/lu/luLandDet.jsp?pnu=3611025028102770015&amp;isNoScr=script&amp;mode=search", "토지이음")</f>
        <v/>
      </c>
      <c r="S276" s="3" t="inlineStr">
        <is>
          <t>이음</t>
        </is>
      </c>
      <c r="T276" s="4" t="n">
        <v>1</v>
      </c>
      <c r="U276" s="5" t="n">
        <v>283.1</v>
      </c>
      <c r="V276" s="4" t="n">
        <v>227.9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110000</v>
      </c>
      <c r="H277" s="4" t="n">
        <v>0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139</v>
      </c>
      <c r="N277" s="5" t="n">
        <v>791.4</v>
      </c>
      <c r="O277" s="3" t="inlineStr">
        <is>
          <t>nan</t>
        </is>
      </c>
      <c r="P277" s="6">
        <f>HYPERLINK("https://fin.land.naver.com/articles/2645776356", "매물Link")</f>
        <v/>
      </c>
      <c r="Q277" s="6">
        <f>HYPERLINK("https://map.naver.com/p/search/조치원읍 침산리 278-11", "지도Link")</f>
        <v/>
      </c>
      <c r="R277" s="6">
        <f>HYPERLINK("http://www.eum.go.kr/web/ar/lu/luLandDet.jsp?pnu=3611025028102780011&amp;isNoScr=script&amp;mode=search",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296.4</v>
      </c>
      <c r="V277" s="4" t="n">
        <v>257.9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월세</t>
        </is>
      </c>
      <c r="G278" s="4" t="n">
        <v>300</v>
      </c>
      <c r="H278" s="4" t="n">
        <v>28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7</v>
      </c>
      <c r="N278" s="5" t="n">
        <v>4</v>
      </c>
      <c r="O278" s="3" t="inlineStr">
        <is>
          <t>1.3룸 l원룸보다 저렴한가격에 l가져가세요l인프라좋아요</t>
        </is>
      </c>
      <c r="P278" s="6">
        <f>HYPERLINK("https://fin.land.naver.com/articles/2649080674", "매물Link")</f>
        <v/>
      </c>
      <c r="Q278" s="6">
        <f>HYPERLINK("https://map.naver.com/p/search/조치원읍 침산리 279-16", "지도Link")</f>
        <v/>
      </c>
      <c r="R278" s="6">
        <f>HYPERLINK("http://www.eum.go.kr/web/ar/lu/luLandDet.jsp?pnu=3611025028102790016&amp;isNoScr=script&amp;mode=search", "토지이음")</f>
        <v/>
      </c>
      <c r="S278" s="3" t="inlineStr">
        <is>
          <t>마이룸</t>
        </is>
      </c>
      <c r="T278" s="4" t="n">
        <v>1</v>
      </c>
      <c r="U278" s="5" t="n">
        <v>299.6</v>
      </c>
      <c r="V278" s="4" t="n">
        <v>315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다가구</t>
        </is>
      </c>
      <c r="F279" s="3" t="inlineStr">
        <is>
          <t>월세</t>
        </is>
      </c>
      <c r="G279" s="4" t="n">
        <v>200</v>
      </c>
      <c r="H279" s="4" t="n">
        <v>23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5</v>
      </c>
      <c r="N279" s="5" t="n">
        <v>4.6</v>
      </c>
      <c r="O279" s="3" t="inlineStr">
        <is>
          <t>시원하고 따뜻한집전기가스30절감 깔끔한집</t>
        </is>
      </c>
      <c r="P279" s="6">
        <f>HYPERLINK("https://fin.land.naver.com/articles/2649080565", "매물Link")</f>
        <v/>
      </c>
      <c r="Q279" s="6">
        <f>HYPERLINK("https://map.naver.com/p/search/조치원읍 침산리 279-16", "지도Link")</f>
        <v/>
      </c>
      <c r="R279" s="6">
        <f>HYPERLINK("http://www.eum.go.kr/web/ar/lu/luLandDet.jsp?pnu=3611025028102790016&amp;isNoScr=script&amp;mode=search", "토지이음")</f>
        <v/>
      </c>
      <c r="S279" s="3" t="inlineStr">
        <is>
          <t>마이룸</t>
        </is>
      </c>
      <c r="T279" s="4" t="n">
        <v>1</v>
      </c>
      <c r="U279" s="5" t="n">
        <v>299.6</v>
      </c>
      <c r="V279" s="4" t="n">
        <v>315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152</v>
      </c>
      <c r="N280" s="5" t="n">
        <v>644.7</v>
      </c>
      <c r="O280" s="3" t="inlineStr">
        <is>
          <t>nan</t>
        </is>
      </c>
      <c r="P280" s="6">
        <f>HYPERLINK("https://fin.land.naver.com/articles/2645775884", "매물Link")</f>
        <v/>
      </c>
      <c r="Q280" s="6">
        <f>HYPERLINK("https://map.naver.com/p/search/조치원읍 침산리 280-5", "지도Link")</f>
        <v/>
      </c>
      <c r="R280" s="6">
        <f>HYPERLINK("http://www.eum.go.kr/web/ar/lu/luLandDet.jsp?pnu=3611025028102800005&amp;isNoScr=script&amp;mode=search",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288.8</v>
      </c>
      <c r="V280" s="4" t="n">
        <v>309.4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전세</t>
        </is>
      </c>
      <c r="G281" s="4" t="n">
        <v>9000</v>
      </c>
      <c r="H281" s="4" t="n">
        <v>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24</v>
      </c>
      <c r="N281" s="5" t="n">
        <v>375</v>
      </c>
      <c r="O281" s="3" t="inlineStr">
        <is>
          <t>다가구주택 주인세대 임대, 방3 욕실</t>
        </is>
      </c>
      <c r="P281" s="6">
        <f>HYPERLINK("https://fin.land.naver.com/articles/2645040430", "매물Link")</f>
        <v/>
      </c>
      <c r="Q281" s="6">
        <f>HYPERLINK("https://map.naver.com/p/search/조치원읍 침산리 280-5", "지도Link")</f>
        <v/>
      </c>
      <c r="R281" s="6">
        <f>HYPERLINK("http://www.eum.go.kr/web/ar/lu/luLandDet.jsp?pnu=3611025028102800005&amp;isNoScr=script&amp;mode=search",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288.8</v>
      </c>
      <c r="V281" s="4" t="n">
        <v>309.4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32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4.6</v>
      </c>
      <c r="O282" s="3" t="inlineStr">
        <is>
          <t>인기좋은  풀옵션완비방   깔끔한 주거공간  넓은 수납공간  주차편함</t>
        </is>
      </c>
      <c r="P282" s="6">
        <f>HYPERLINK("https://fin.land.naver.com/articles/2647723114", "매물Link")</f>
        <v/>
      </c>
      <c r="Q282" s="6">
        <f>HYPERLINK("https://map.naver.com/p/search/조치원읍 침산리 283-12", "지도Link")</f>
        <v/>
      </c>
      <c r="R282" s="6">
        <f>HYPERLINK("http://www.eum.go.kr/web/ar/lu/luLandDet.jsp?pnu=3611025028102830012&amp;isNoScr=script&amp;mode=search",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283.1</v>
      </c>
      <c r="V282" s="4" t="n">
        <v>263.5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전세</t>
        </is>
      </c>
      <c r="G283" s="4" t="n">
        <v>3500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8</v>
      </c>
      <c r="N283" s="5" t="n">
        <v>437.5</v>
      </c>
      <c r="O283" s="3" t="inlineStr">
        <is>
          <t>넓고 깔끔한  풀옵션 완비방  주방분리  짐만 가져오세요  바로입주</t>
        </is>
      </c>
      <c r="P283" s="6">
        <f>HYPERLINK("https://fin.land.naver.com/articles/2648568156", "매물Link")</f>
        <v/>
      </c>
      <c r="Q283" s="6">
        <f>HYPERLINK("https://map.naver.com/p/search/조치원읍 침산리 283-16", "지도Link")</f>
        <v/>
      </c>
      <c r="R283" s="6">
        <f>HYPERLINK("http://www.eum.go.kr/web/ar/lu/luLandDet.jsp?pnu=3611025028102830016&amp;isNoScr=script&amp;mode=search", "토지이음")</f>
        <v/>
      </c>
      <c r="S283" s="3" t="inlineStr">
        <is>
          <t>연서으뜸</t>
        </is>
      </c>
      <c r="T283" s="4" t="n">
        <v>1</v>
      </c>
      <c r="U283" s="5" t="n">
        <v>283.1</v>
      </c>
      <c r="V283" s="4" t="n">
        <v>281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133</v>
      </c>
      <c r="N284" s="5" t="n">
        <v>736.8</v>
      </c>
      <c r="O284" s="3" t="inlineStr">
        <is>
          <t>nan</t>
        </is>
      </c>
      <c r="P284" s="6">
        <f>HYPERLINK("https://fin.land.naver.com/articles/2645775408", "매물Link")</f>
        <v/>
      </c>
      <c r="Q284" s="6">
        <f>HYPERLINK("https://map.naver.com/p/search/조치원읍 침산리 283-16", "지도Link")</f>
        <v/>
      </c>
      <c r="R284" s="6">
        <f>HYPERLINK("http://www.eum.go.kr/web/ar/lu/luLandDet.jsp?pnu=3611025028102830016&amp;isNoScr=script&amp;mode=search",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283.1</v>
      </c>
      <c r="V284" s="4" t="n">
        <v>281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127000</v>
      </c>
      <c r="H286" s="4" t="n">
        <v>0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50</v>
      </c>
      <c r="N286" s="5" t="n">
        <v>2540</v>
      </c>
      <c r="O286" s="3" t="inlineStr">
        <is>
          <t>마당연결 공원전유사용 옆시유지 무상이용 2층 테라스 데크 실수요최적</t>
        </is>
      </c>
      <c r="P286" s="6">
        <f>HYPERLINK("https://fin.land.naver.com/articles/2649262816", "매물Link")</f>
        <v/>
      </c>
      <c r="Q286" s="6">
        <f>HYPERLINK("https://map.naver.com/p/search/한솔동 1118", "지도Link")</f>
        <v/>
      </c>
      <c r="R286" s="6">
        <f>HYPERLINK("http://www.eum.go.kr/web/ar/lu/luLandDet.jsp?pnu=3611010600111180000&amp;isNoScr=script&amp;mode=search", "토지이음")</f>
        <v/>
      </c>
      <c r="S286" s="3" t="inlineStr">
        <is>
          <t>삼성래미안</t>
        </is>
      </c>
      <c r="T286" s="4" t="n">
        <v>3</v>
      </c>
      <c r="U286" s="5" t="n">
        <v>373.6</v>
      </c>
      <c r="V286" s="4" t="n">
        <v>331.3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127000</v>
      </c>
      <c r="H287" s="4" t="n">
        <v>0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50</v>
      </c>
      <c r="N287" s="5" t="n">
        <v>2540</v>
      </c>
      <c r="O287" s="3" t="inlineStr">
        <is>
          <t>세종시 상권이용편리한 단독주택  앞뒤뻥</t>
        </is>
      </c>
      <c r="P287" s="6">
        <f>HYPERLINK("https://fin.land.naver.com/articles/2646211687", "매물Link")</f>
        <v/>
      </c>
      <c r="Q287" s="6">
        <f>HYPERLINK("https://map.naver.com/p/search/한솔동 1118", "지도Link")</f>
        <v/>
      </c>
      <c r="R287" s="6">
        <f>HYPERLINK("http://www.eum.go.kr/web/ar/lu/luLandDet.jsp?pnu=3611010600111180000&amp;isNoScr=script&amp;mode=search", "토지이음")</f>
        <v/>
      </c>
      <c r="S287" s="3" t="inlineStr">
        <is>
          <t>세종믿음</t>
        </is>
      </c>
      <c r="T287" s="4" t="n">
        <v>1</v>
      </c>
      <c r="U287" s="5" t="n">
        <v>373.6</v>
      </c>
      <c r="V287" s="4" t="n">
        <v>331.3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전용49.8p, 방3개 화장실2개, 사유지땅 사용가능</t>
        </is>
      </c>
      <c r="P289" s="6">
        <f>HYPERLINK("https://fin.land.naver.com/articles/2648834239",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세종무지개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30</v>
      </c>
      <c r="N290" s="5" t="n">
        <v>2833.3</v>
      </c>
      <c r="O290" s="3" t="inlineStr">
        <is>
          <t>정원이 잘 가꾸어진 주택. 초,중, 고 도보권</t>
        </is>
      </c>
      <c r="P290" s="6">
        <f>HYPERLINK("https://fin.land.naver.com/articles/2649457945", "매물Link")</f>
        <v/>
      </c>
      <c r="Q290" s="6">
        <f>HYPERLINK("https://map.naver.com/p/search/한솔동 1219", "지도Link")</f>
        <v/>
      </c>
      <c r="R290" s="6">
        <f>HYPERLINK("http://www.eum.go.kr/web/ar/lu/luLandDet.jsp?pnu=3611010600112190000&amp;isNoScr=script&amp;mode=search", "토지이음")</f>
        <v/>
      </c>
      <c r="S290" s="3" t="inlineStr">
        <is>
          <t>세종삼촌</t>
        </is>
      </c>
      <c r="T290" s="4" t="n">
        <v>1</v>
      </c>
      <c r="U290" s="5" t="n">
        <v>373.6</v>
      </c>
      <c r="V290" s="4" t="n">
        <v>394.7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30</v>
      </c>
      <c r="N291" s="5" t="n">
        <v>2833.3</v>
      </c>
      <c r="O291" s="3" t="inlineStr">
        <is>
          <t>급매 추가조율협의가능 단층 철근콘크리트 가성비 주택</t>
        </is>
      </c>
      <c r="P291" s="6">
        <f>HYPERLINK("https://fin.land.naver.com/articles/2649375331", "매물Link")</f>
        <v/>
      </c>
      <c r="Q291" s="6">
        <f>HYPERLINK("https://map.naver.com/p/search/한솔동 1219", "지도Link")</f>
        <v/>
      </c>
      <c r="R291" s="6">
        <f>HYPERLINK("http://www.eum.go.kr/web/ar/lu/luLandDet.jsp?pnu=3611010600112190000&amp;isNoScr=script&amp;mode=search", "토지이음")</f>
        <v/>
      </c>
      <c r="S291" s="3" t="inlineStr">
        <is>
          <t>세종스타</t>
        </is>
      </c>
      <c r="T291" s="4" t="n">
        <v>1</v>
      </c>
      <c r="U291" s="5" t="n">
        <v>373.6</v>
      </c>
      <c r="V291" s="4" t="n">
        <v>394.7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95000</v>
      </c>
      <c r="H292" s="4" t="n">
        <v>0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55</v>
      </c>
      <c r="N292" s="5" t="n">
        <v>1727.3</v>
      </c>
      <c r="O292" s="3" t="inlineStr">
        <is>
          <t>막힘없이 좋아요 좋은 위치 brt 가까운 위치 입니다 방3, 화장실 2</t>
        </is>
      </c>
      <c r="P292" s="6">
        <f>HYPERLINK("https://fin.land.naver.com/articles/2645901594", "매물Link")</f>
        <v/>
      </c>
      <c r="Q292" s="6">
        <f>HYPERLINK("https://map.naver.com/p/search/한솔동 867", "지도Link")</f>
        <v/>
      </c>
      <c r="R292" s="6">
        <f>HYPERLINK("http://www.eum.go.kr/web/ar/lu/luLandDet.jsp?pnu=3611010600108670000&amp;isNoScr=script&amp;mode=search", "토지이음")</f>
        <v/>
      </c>
      <c r="S292" s="3" t="inlineStr">
        <is>
          <t>은성</t>
        </is>
      </c>
      <c r="T292" s="4" t="n">
        <v>1</v>
      </c>
      <c r="U292" s="5" t="n">
        <v>427.1</v>
      </c>
      <c r="V292" s="4" t="n">
        <v>293.3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가로장방</t>
        </is>
      </c>
      <c r="AA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120000</v>
      </c>
      <c r="H293" s="4" t="n">
        <v>0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61</v>
      </c>
      <c r="N293" s="5" t="n">
        <v>1967.2</v>
      </c>
      <c r="O293" s="3" t="inlineStr">
        <is>
          <t>공원옆 코너각지 남향 가격조절가 태양열 전기차충전기 정원에카페사용공간있음</t>
        </is>
      </c>
      <c r="P293" s="6">
        <f>HYPERLINK("https://fin.land.naver.com/articles/2649425303", "매물Link")</f>
        <v/>
      </c>
      <c r="Q293" s="6">
        <f>HYPERLINK("https://map.naver.com/p/search/한솔동 899", "지도Link")</f>
        <v/>
      </c>
      <c r="R293" s="6">
        <f>HYPERLINK("http://www.eum.go.kr/web/ar/lu/luLandDet.jsp?pnu=3611010600108990000&amp;isNoScr=script&amp;mode=search", "토지이음")</f>
        <v/>
      </c>
      <c r="S293" s="3" t="inlineStr">
        <is>
          <t>세종시해냄</t>
        </is>
      </c>
      <c r="T293" s="4" t="n">
        <v>1</v>
      </c>
      <c r="U293" s="5" t="n">
        <v>418.8</v>
      </c>
      <c r="V293" s="4" t="n">
        <v>269.1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120000</v>
      </c>
      <c r="H294" s="4" t="n">
        <v>0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61</v>
      </c>
      <c r="N294" s="5" t="n">
        <v>1967.2</v>
      </c>
      <c r="O294" s="3" t="inlineStr">
        <is>
          <t>태양광, 풀에어컨, 주차2대, 한솔동 입지 좋은 주택 매매</t>
        </is>
      </c>
      <c r="P294" s="6">
        <f>HYPERLINK("https://fin.land.naver.com/articles/2644084278", "매물Link")</f>
        <v/>
      </c>
      <c r="Q294" s="6">
        <f>HYPERLINK("https://map.naver.com/p/search/한솔동 899", "지도Link")</f>
        <v/>
      </c>
      <c r="R294" s="6">
        <f>HYPERLINK("http://www.eum.go.kr/web/ar/lu/luLandDet.jsp?pnu=3611010600108990000&amp;isNoScr=script&amp;mode=search",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418.8</v>
      </c>
      <c r="V294" s="4" t="n">
        <v>269.1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120000</v>
      </c>
      <c r="H295" s="4" t="n">
        <v>0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61</v>
      </c>
      <c r="N295" s="5" t="n">
        <v>1967.2</v>
      </c>
      <c r="O295" s="3" t="inlineStr">
        <is>
          <t>입지 좋고 공간활용도가 높은 한솔동 단독주택 매매</t>
        </is>
      </c>
      <c r="P295" s="6">
        <f>HYPERLINK("https://fin.land.naver.com/articles/2644395820", "매물Link")</f>
        <v/>
      </c>
      <c r="Q295" s="6">
        <f>HYPERLINK("https://map.naver.com/p/search/한솔동 899", "지도Link")</f>
        <v/>
      </c>
      <c r="R295" s="6">
        <f>HYPERLINK("http://www.eum.go.kr/web/ar/lu/luLandDet.jsp?pnu=3611010600108990000&amp;isNoScr=script&amp;mode=search", "토지이음")</f>
        <v/>
      </c>
      <c r="S295" s="3" t="inlineStr">
        <is>
          <t>명진</t>
        </is>
      </c>
      <c r="T295" s="4" t="n">
        <v>1</v>
      </c>
      <c r="U295" s="5" t="n">
        <v>418.8</v>
      </c>
      <c r="V295" s="4" t="n">
        <v>269.1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130000</v>
      </c>
      <c r="H297" s="4" t="n">
        <v>0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59</v>
      </c>
      <c r="N297" s="5" t="n">
        <v>2203.4</v>
      </c>
      <c r="O297" s="3" t="inlineStr">
        <is>
          <t>급매 1년차 최신축 현대식 세련된 내부인테리어 방3개 욕실3개</t>
        </is>
      </c>
      <c r="P297" s="6">
        <f>HYPERLINK("https://fin.land.naver.com/articles/2647126217", "매물Link")</f>
        <v/>
      </c>
      <c r="Q297" s="6">
        <f>HYPERLINK("https://map.naver.com/p/search/한솔동 997", "지도Link")</f>
        <v/>
      </c>
      <c r="R297" s="6">
        <f>HYPERLINK("http://www.eum.go.kr/web/ar/lu/luLandDet.jsp?pnu=3611010600109970000&amp;isNoScr=script&amp;mode=search",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302.8</v>
      </c>
      <c r="V297" s="4" t="n">
        <v>393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월세</t>
        </is>
      </c>
      <c r="G298" s="4" t="n">
        <v>13000</v>
      </c>
      <c r="H298" s="4" t="n">
        <v>60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282</v>
      </c>
      <c r="N298" s="5" t="n">
        <v>0.2</v>
      </c>
      <c r="O298" s="3" t="inlineStr">
        <is>
          <t>해밀동 라포르테 단독주택 월세</t>
        </is>
      </c>
      <c r="P298" s="6">
        <f>HYPERLINK("https://fin.land.naver.com/articles/2649244700", "매물Link")</f>
        <v/>
      </c>
      <c r="Q298" s="6">
        <f>HYPERLINK("https://map.naver.com/p/search/해밀동 665", "지도Link")</f>
        <v/>
      </c>
      <c r="R298" s="6">
        <f>HYPERLINK("http://www.eum.go.kr/web/ar/lu/luLandDet.jsp?pnu=3611011600106650000&amp;isNoScr=script&amp;mode=search", "토지이음")</f>
        <v/>
      </c>
      <c r="S298" s="3" t="inlineStr">
        <is>
          <t>태양</t>
        </is>
      </c>
      <c r="T298" s="4" t="n">
        <v>1</v>
      </c>
      <c r="U298" s="5" t="n">
        <v>215.1</v>
      </c>
      <c r="V298" s="4" t="n">
        <v>34519</v>
      </c>
      <c r="W298" s="3" t="inlineStr">
        <is>
          <t>지정되지않음</t>
        </is>
      </c>
      <c r="X298" s="3" t="inlineStr">
        <is>
          <t>연립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전세</t>
        </is>
      </c>
      <c r="G299" s="4" t="n">
        <v>100000</v>
      </c>
      <c r="H299" s="4" t="n">
        <v>0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67</v>
      </c>
      <c r="N299" s="5" t="n">
        <v>1492.5</v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6">
        <f>HYPERLINK("http://www.eum.go.kr/web/ar/lu/luLandDet.jsp?pnu=3611011600106920000&amp;isNoScr=script&amp;mode=search", "토지이음")</f>
        <v/>
      </c>
      <c r="S299" s="3" t="inlineStr">
        <is>
          <t>국제</t>
        </is>
      </c>
      <c r="T299" s="4" t="n">
        <v>1</v>
      </c>
      <c r="U299" s="5" t="n">
        <v>243.4</v>
      </c>
      <c r="V299" s="4" t="n">
        <v>6242.7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</sheetData>
  <autoFilter ref="A1:AA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안내</t>
        </is>
      </c>
    </row>
    <row r="2">
      <c r="A2" s="3" t="inlineStr">
        <is>
          <t>수집된 국토부 실거래 원본 데이터가 없습니다.</t>
        </is>
      </c>
    </row>
  </sheetData>
  <autoFilter ref="A1:A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2026-09-14T08:26:45Z</dcterms:created>
  <dcterms:modified xsi:type="dcterms:W3CDTF">2026-09-14T08:26:49Z</dcterms:modified>
</cp:coreProperties>
</file>